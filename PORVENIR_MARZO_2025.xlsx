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dy\Desktop\gasolinas\"/>
    </mc:Choice>
  </mc:AlternateContent>
  <bookViews>
    <workbookView xWindow="-120" yWindow="-120" windowWidth="20730" windowHeight="11040" firstSheet="14" activeTab="17"/>
  </bookViews>
  <sheets>
    <sheet name="01-03-2025" sheetId="1" r:id="rId1"/>
    <sheet name="02-03-2025" sheetId="2" r:id="rId2"/>
    <sheet name="03-03-2025" sheetId="3" r:id="rId3"/>
    <sheet name="04-03-2025" sheetId="4" r:id="rId4"/>
    <sheet name="05-03-2025" sheetId="5" r:id="rId5"/>
    <sheet name="06-03-2025" sheetId="6" r:id="rId6"/>
    <sheet name="07-03-2025" sheetId="7" r:id="rId7"/>
    <sheet name="08-03-2025" sheetId="8" r:id="rId8"/>
    <sheet name="09-03-2025" sheetId="9" r:id="rId9"/>
    <sheet name="10-03-2025" sheetId="10" r:id="rId10"/>
    <sheet name="11-03-2025" sheetId="11" r:id="rId11"/>
    <sheet name="12-03-2025" sheetId="12" r:id="rId12"/>
    <sheet name="13-03-2025" sheetId="13" r:id="rId13"/>
    <sheet name="14-03-2025" sheetId="14" r:id="rId14"/>
    <sheet name="15-03-2025" sheetId="15" r:id="rId15"/>
    <sheet name="16-03-2025" sheetId="16" r:id="rId16"/>
    <sheet name="17-03-2025" sheetId="17" r:id="rId17"/>
    <sheet name="18-03-2025" sheetId="18" r:id="rId18"/>
    <sheet name="19-03-2025" sheetId="19" r:id="rId19"/>
    <sheet name="20-03-2025" sheetId="20" r:id="rId20"/>
    <sheet name="21-03-2025" sheetId="21" r:id="rId21"/>
    <sheet name="22-03-2025" sheetId="22" r:id="rId22"/>
    <sheet name="23-03-2025" sheetId="23" r:id="rId23"/>
    <sheet name="24-03-2025" sheetId="24" r:id="rId24"/>
    <sheet name="25-03-2025" sheetId="25" r:id="rId25"/>
    <sheet name="26-03-2025" sheetId="26" r:id="rId26"/>
    <sheet name="27-03-2025" sheetId="27" r:id="rId27"/>
    <sheet name="28-03-2025" sheetId="28" r:id="rId28"/>
    <sheet name="29-03-2025" sheetId="29" r:id="rId29"/>
    <sheet name="30-03-2025" sheetId="31" r:id="rId30"/>
    <sheet name="31-03-2025" sheetId="32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2" i="32" l="1"/>
  <c r="E51" i="32"/>
  <c r="E50" i="32"/>
  <c r="E49" i="32"/>
  <c r="G9" i="32" s="1"/>
  <c r="E48" i="32"/>
  <c r="J8" i="32" s="1"/>
  <c r="E47" i="32"/>
  <c r="G7" i="32" s="1"/>
  <c r="N43" i="32"/>
  <c r="F43" i="32"/>
  <c r="P16" i="32" s="1"/>
  <c r="E43" i="32"/>
  <c r="P15" i="32" s="1"/>
  <c r="K42" i="32"/>
  <c r="P41" i="32"/>
  <c r="P43" i="32" s="1"/>
  <c r="K37" i="32"/>
  <c r="G37" i="32"/>
  <c r="E36" i="32"/>
  <c r="E35" i="32"/>
  <c r="E34" i="32"/>
  <c r="E33" i="32"/>
  <c r="K32" i="32"/>
  <c r="E32" i="32"/>
  <c r="E31" i="32"/>
  <c r="E30" i="32"/>
  <c r="G29" i="32"/>
  <c r="E29" i="32"/>
  <c r="K27" i="32"/>
  <c r="K21" i="32"/>
  <c r="M11" i="32"/>
  <c r="L11" i="32"/>
  <c r="O10" i="32"/>
  <c r="J10" i="32"/>
  <c r="N10" i="32" s="1"/>
  <c r="G10" i="32"/>
  <c r="C10" i="32"/>
  <c r="F10" i="32" s="1"/>
  <c r="O9" i="32"/>
  <c r="C9" i="32"/>
  <c r="F9" i="32" s="1"/>
  <c r="O8" i="32"/>
  <c r="G8" i="32"/>
  <c r="C8" i="32"/>
  <c r="F8" i="32" s="1"/>
  <c r="K8" i="32" s="1"/>
  <c r="Q8" i="32" s="1"/>
  <c r="O7" i="32"/>
  <c r="C7" i="32"/>
  <c r="F7" i="32" s="1"/>
  <c r="O3" i="32"/>
  <c r="G52" i="31"/>
  <c r="E51" i="31"/>
  <c r="E50" i="31"/>
  <c r="E49" i="31"/>
  <c r="J9" i="31" s="1"/>
  <c r="N9" i="31" s="1"/>
  <c r="E48" i="31"/>
  <c r="G8" i="31" s="1"/>
  <c r="E47" i="31"/>
  <c r="N43" i="31"/>
  <c r="F43" i="31"/>
  <c r="P16" i="31" s="1"/>
  <c r="E43" i="31"/>
  <c r="P15" i="31" s="1"/>
  <c r="K42" i="31"/>
  <c r="P41" i="31"/>
  <c r="P43" i="31" s="1"/>
  <c r="K37" i="31"/>
  <c r="G37" i="31"/>
  <c r="E36" i="31"/>
  <c r="E35" i="31"/>
  <c r="E34" i="31"/>
  <c r="E33" i="31"/>
  <c r="K32" i="31"/>
  <c r="E32" i="31"/>
  <c r="E31" i="31"/>
  <c r="E30" i="31"/>
  <c r="G29" i="31"/>
  <c r="E29" i="31"/>
  <c r="K27" i="31"/>
  <c r="K21" i="31"/>
  <c r="M11" i="31"/>
  <c r="L11" i="31"/>
  <c r="O10" i="31"/>
  <c r="J10" i="31"/>
  <c r="N10" i="31" s="1"/>
  <c r="G10" i="31"/>
  <c r="C10" i="31"/>
  <c r="F10" i="31" s="1"/>
  <c r="O9" i="31"/>
  <c r="C9" i="31"/>
  <c r="F9" i="31" s="1"/>
  <c r="O8" i="31"/>
  <c r="C8" i="31"/>
  <c r="F8" i="31" s="1"/>
  <c r="O7" i="31"/>
  <c r="C7" i="31"/>
  <c r="F7" i="31" s="1"/>
  <c r="O3" i="31"/>
  <c r="G52" i="29"/>
  <c r="E51" i="29"/>
  <c r="J10" i="29" s="1"/>
  <c r="N10" i="29" s="1"/>
  <c r="P10" i="29" s="1"/>
  <c r="E50" i="29"/>
  <c r="E49" i="29"/>
  <c r="J9" i="29" s="1"/>
  <c r="N9" i="29" s="1"/>
  <c r="E48" i="29"/>
  <c r="E47" i="29"/>
  <c r="J7" i="29" s="1"/>
  <c r="N7" i="29" s="1"/>
  <c r="N43" i="29"/>
  <c r="F43" i="29"/>
  <c r="P16" i="29" s="1"/>
  <c r="E43" i="29"/>
  <c r="K42" i="29"/>
  <c r="P41" i="29"/>
  <c r="P43" i="29" s="1"/>
  <c r="K37" i="29"/>
  <c r="G37" i="29"/>
  <c r="E36" i="29"/>
  <c r="E35" i="29"/>
  <c r="E34" i="29"/>
  <c r="E33" i="29"/>
  <c r="K32" i="29"/>
  <c r="E32" i="29"/>
  <c r="E31" i="29"/>
  <c r="E30" i="29"/>
  <c r="G29" i="29"/>
  <c r="E29" i="29"/>
  <c r="K27" i="29"/>
  <c r="K21" i="29"/>
  <c r="M11" i="29"/>
  <c r="L11" i="29"/>
  <c r="O10" i="29"/>
  <c r="C10" i="29"/>
  <c r="F10" i="29" s="1"/>
  <c r="O9" i="29"/>
  <c r="C9" i="29"/>
  <c r="F9" i="29" s="1"/>
  <c r="O8" i="29"/>
  <c r="J8" i="29"/>
  <c r="N8" i="29" s="1"/>
  <c r="G8" i="29"/>
  <c r="C8" i="29"/>
  <c r="O7" i="29"/>
  <c r="C7" i="29"/>
  <c r="F7" i="29" s="1"/>
  <c r="O3" i="29"/>
  <c r="G52" i="28"/>
  <c r="E51" i="28"/>
  <c r="J10" i="28" s="1"/>
  <c r="N10" i="28" s="1"/>
  <c r="P10" i="28" s="1"/>
  <c r="E50" i="28"/>
  <c r="E49" i="28"/>
  <c r="G9" i="28" s="1"/>
  <c r="E48" i="28"/>
  <c r="J8" i="28" s="1"/>
  <c r="N8" i="28" s="1"/>
  <c r="E47" i="28"/>
  <c r="J7" i="28" s="1"/>
  <c r="P43" i="28"/>
  <c r="N43" i="28"/>
  <c r="F43" i="28"/>
  <c r="P16" i="28" s="1"/>
  <c r="E43" i="28"/>
  <c r="P15" i="28" s="1"/>
  <c r="K42" i="28"/>
  <c r="P41" i="28"/>
  <c r="K37" i="28"/>
  <c r="G37" i="28"/>
  <c r="E36" i="28"/>
  <c r="E35" i="28"/>
  <c r="E34" i="28"/>
  <c r="E33" i="28"/>
  <c r="K32" i="28"/>
  <c r="E32" i="28"/>
  <c r="E31" i="28"/>
  <c r="E30" i="28"/>
  <c r="G29" i="28"/>
  <c r="E29" i="28"/>
  <c r="K27" i="28"/>
  <c r="K21" i="28"/>
  <c r="M11" i="28"/>
  <c r="L11" i="28"/>
  <c r="O10" i="28"/>
  <c r="C10" i="28"/>
  <c r="F10" i="28" s="1"/>
  <c r="O9" i="28"/>
  <c r="J9" i="28"/>
  <c r="N9" i="28" s="1"/>
  <c r="C9" i="28"/>
  <c r="O8" i="28"/>
  <c r="G8" i="28"/>
  <c r="C8" i="28"/>
  <c r="F8" i="28" s="1"/>
  <c r="K8" i="28" s="1"/>
  <c r="Q8" i="28" s="1"/>
  <c r="O7" i="28"/>
  <c r="C7" i="28"/>
  <c r="F7" i="28" s="1"/>
  <c r="O3" i="28"/>
  <c r="G52" i="27"/>
  <c r="E51" i="27"/>
  <c r="E50" i="27"/>
  <c r="E49" i="27"/>
  <c r="J9" i="27" s="1"/>
  <c r="N9" i="27" s="1"/>
  <c r="E48" i="27"/>
  <c r="G8" i="27" s="1"/>
  <c r="E47" i="27"/>
  <c r="N43" i="27"/>
  <c r="F43" i="27"/>
  <c r="P16" i="27" s="1"/>
  <c r="E43" i="27"/>
  <c r="P15" i="27" s="1"/>
  <c r="K42" i="27"/>
  <c r="P41" i="27"/>
  <c r="P43" i="27" s="1"/>
  <c r="K37" i="27"/>
  <c r="G37" i="27"/>
  <c r="E36" i="27"/>
  <c r="E35" i="27"/>
  <c r="E34" i="27"/>
  <c r="E33" i="27"/>
  <c r="K32" i="27"/>
  <c r="E32" i="27"/>
  <c r="E31" i="27"/>
  <c r="E30" i="27"/>
  <c r="G29" i="27"/>
  <c r="E29" i="27"/>
  <c r="K27" i="27"/>
  <c r="K21" i="27"/>
  <c r="M11" i="27"/>
  <c r="L11" i="27"/>
  <c r="O10" i="27"/>
  <c r="J10" i="27"/>
  <c r="N10" i="27" s="1"/>
  <c r="G10" i="27"/>
  <c r="C10" i="27"/>
  <c r="F10" i="27" s="1"/>
  <c r="O9" i="27"/>
  <c r="G9" i="27"/>
  <c r="C9" i="27"/>
  <c r="F9" i="27" s="1"/>
  <c r="O8" i="27"/>
  <c r="C8" i="27"/>
  <c r="F8" i="27" s="1"/>
  <c r="O7" i="27"/>
  <c r="C7" i="27"/>
  <c r="F7" i="27" s="1"/>
  <c r="O3" i="27"/>
  <c r="G52" i="26"/>
  <c r="E51" i="26"/>
  <c r="G10" i="26" s="1"/>
  <c r="E50" i="26"/>
  <c r="E49" i="26"/>
  <c r="G9" i="26" s="1"/>
  <c r="E48" i="26"/>
  <c r="J8" i="26" s="1"/>
  <c r="N8" i="26" s="1"/>
  <c r="E47" i="26"/>
  <c r="E52" i="26" s="1"/>
  <c r="N43" i="26"/>
  <c r="F43" i="26"/>
  <c r="P16" i="26" s="1"/>
  <c r="E43" i="26"/>
  <c r="P15" i="26" s="1"/>
  <c r="K42" i="26"/>
  <c r="P41" i="26"/>
  <c r="P43" i="26" s="1"/>
  <c r="K37" i="26"/>
  <c r="G37" i="26"/>
  <c r="E36" i="26"/>
  <c r="E35" i="26"/>
  <c r="E34" i="26"/>
  <c r="E33" i="26"/>
  <c r="K32" i="26"/>
  <c r="E32" i="26"/>
  <c r="E31" i="26"/>
  <c r="E30" i="26"/>
  <c r="G29" i="26"/>
  <c r="E29" i="26"/>
  <c r="K27" i="26"/>
  <c r="K21" i="26"/>
  <c r="M11" i="26"/>
  <c r="L11" i="26"/>
  <c r="O10" i="26"/>
  <c r="C10" i="26"/>
  <c r="F10" i="26" s="1"/>
  <c r="O9" i="26"/>
  <c r="C9" i="26"/>
  <c r="F9" i="26" s="1"/>
  <c r="O8" i="26"/>
  <c r="G8" i="26"/>
  <c r="C8" i="26"/>
  <c r="F8" i="26" s="1"/>
  <c r="K8" i="26" s="1"/>
  <c r="Q8" i="26" s="1"/>
  <c r="O7" i="26"/>
  <c r="C7" i="26"/>
  <c r="F7" i="26" s="1"/>
  <c r="O3" i="26"/>
  <c r="G52" i="25"/>
  <c r="E51" i="25"/>
  <c r="G10" i="25" s="1"/>
  <c r="E50" i="25"/>
  <c r="E49" i="25"/>
  <c r="G9" i="25" s="1"/>
  <c r="E48" i="25"/>
  <c r="J8" i="25" s="1"/>
  <c r="N8" i="25" s="1"/>
  <c r="E47" i="25"/>
  <c r="E52" i="25" s="1"/>
  <c r="N43" i="25"/>
  <c r="F43" i="25"/>
  <c r="P16" i="25" s="1"/>
  <c r="E43" i="25"/>
  <c r="G43" i="25" s="1"/>
  <c r="K42" i="25"/>
  <c r="P41" i="25"/>
  <c r="P43" i="25" s="1"/>
  <c r="K37" i="25"/>
  <c r="G37" i="25"/>
  <c r="E36" i="25"/>
  <c r="E35" i="25"/>
  <c r="E34" i="25"/>
  <c r="E33" i="25"/>
  <c r="K32" i="25"/>
  <c r="E32" i="25"/>
  <c r="E31" i="25"/>
  <c r="E30" i="25"/>
  <c r="G29" i="25"/>
  <c r="E29" i="25"/>
  <c r="K27" i="25"/>
  <c r="K21" i="25"/>
  <c r="M11" i="25"/>
  <c r="L11" i="25"/>
  <c r="O10" i="25"/>
  <c r="C10" i="25"/>
  <c r="F10" i="25" s="1"/>
  <c r="O9" i="25"/>
  <c r="J9" i="25"/>
  <c r="N9" i="25" s="1"/>
  <c r="C9" i="25"/>
  <c r="F9" i="25" s="1"/>
  <c r="O8" i="25"/>
  <c r="C8" i="25"/>
  <c r="F8" i="25" s="1"/>
  <c r="O7" i="25"/>
  <c r="C7" i="25"/>
  <c r="F7" i="25" s="1"/>
  <c r="O3" i="25"/>
  <c r="G52" i="24"/>
  <c r="E51" i="24"/>
  <c r="E50" i="24"/>
  <c r="E49" i="24"/>
  <c r="J9" i="24" s="1"/>
  <c r="N9" i="24" s="1"/>
  <c r="E48" i="24"/>
  <c r="E47" i="24"/>
  <c r="G7" i="24" s="1"/>
  <c r="P43" i="24"/>
  <c r="N43" i="24"/>
  <c r="F43" i="24"/>
  <c r="P16" i="24" s="1"/>
  <c r="E43" i="24"/>
  <c r="P15" i="24" s="1"/>
  <c r="K42" i="24"/>
  <c r="P41" i="24"/>
  <c r="K37" i="24"/>
  <c r="G37" i="24"/>
  <c r="E36" i="24"/>
  <c r="E35" i="24"/>
  <c r="E34" i="24"/>
  <c r="E33" i="24"/>
  <c r="K32" i="24"/>
  <c r="E32" i="24"/>
  <c r="E31" i="24"/>
  <c r="E30" i="24"/>
  <c r="G29" i="24"/>
  <c r="E29" i="24"/>
  <c r="K27" i="24"/>
  <c r="K21" i="24"/>
  <c r="M11" i="24"/>
  <c r="L11" i="24"/>
  <c r="O10" i="24"/>
  <c r="J10" i="24"/>
  <c r="N10" i="24" s="1"/>
  <c r="P10" i="24" s="1"/>
  <c r="G10" i="24"/>
  <c r="C10" i="24"/>
  <c r="F10" i="24" s="1"/>
  <c r="O9" i="24"/>
  <c r="G9" i="24"/>
  <c r="C9" i="24"/>
  <c r="F9" i="24" s="1"/>
  <c r="O8" i="24"/>
  <c r="J8" i="24"/>
  <c r="N8" i="24" s="1"/>
  <c r="G8" i="24"/>
  <c r="C8" i="24"/>
  <c r="C11" i="24" s="1"/>
  <c r="O7" i="24"/>
  <c r="C7" i="24"/>
  <c r="F7" i="24" s="1"/>
  <c r="O3" i="24"/>
  <c r="G52" i="23"/>
  <c r="E51" i="23"/>
  <c r="E50" i="23"/>
  <c r="E49" i="23"/>
  <c r="J9" i="23" s="1"/>
  <c r="N9" i="23" s="1"/>
  <c r="E48" i="23"/>
  <c r="J8" i="23" s="1"/>
  <c r="N8" i="23" s="1"/>
  <c r="E47" i="23"/>
  <c r="N43" i="23"/>
  <c r="F43" i="23"/>
  <c r="P16" i="23" s="1"/>
  <c r="E43" i="23"/>
  <c r="P15" i="23" s="1"/>
  <c r="K42" i="23"/>
  <c r="P41" i="23"/>
  <c r="P43" i="23" s="1"/>
  <c r="K37" i="23"/>
  <c r="G37" i="23"/>
  <c r="E36" i="23"/>
  <c r="E35" i="23"/>
  <c r="E34" i="23"/>
  <c r="E33" i="23"/>
  <c r="K32" i="23"/>
  <c r="E32" i="23"/>
  <c r="E31" i="23"/>
  <c r="E30" i="23"/>
  <c r="G29" i="23"/>
  <c r="E29" i="23"/>
  <c r="K27" i="23"/>
  <c r="K21" i="23"/>
  <c r="M11" i="23"/>
  <c r="L11" i="23"/>
  <c r="O10" i="23"/>
  <c r="J10" i="23"/>
  <c r="N10" i="23" s="1"/>
  <c r="G10" i="23"/>
  <c r="C10" i="23"/>
  <c r="F10" i="23" s="1"/>
  <c r="K10" i="23" s="1"/>
  <c r="Q10" i="23" s="1"/>
  <c r="O9" i="23"/>
  <c r="C9" i="23"/>
  <c r="F9" i="23" s="1"/>
  <c r="O8" i="23"/>
  <c r="G8" i="23"/>
  <c r="C8" i="23"/>
  <c r="F8" i="23" s="1"/>
  <c r="K8" i="23" s="1"/>
  <c r="Q8" i="23" s="1"/>
  <c r="O7" i="23"/>
  <c r="C7" i="23"/>
  <c r="F7" i="23" s="1"/>
  <c r="O3" i="23"/>
  <c r="G52" i="22"/>
  <c r="E51" i="22"/>
  <c r="E50" i="22"/>
  <c r="E49" i="22"/>
  <c r="G9" i="22" s="1"/>
  <c r="E48" i="22"/>
  <c r="E47" i="22"/>
  <c r="G7" i="22" s="1"/>
  <c r="N43" i="22"/>
  <c r="F43" i="22"/>
  <c r="P16" i="22" s="1"/>
  <c r="E43" i="22"/>
  <c r="P15" i="22" s="1"/>
  <c r="K42" i="22"/>
  <c r="P41" i="22"/>
  <c r="P43" i="22" s="1"/>
  <c r="K37" i="22"/>
  <c r="G37" i="22"/>
  <c r="E36" i="22"/>
  <c r="E35" i="22"/>
  <c r="E34" i="22"/>
  <c r="E33" i="22"/>
  <c r="K32" i="22"/>
  <c r="E32" i="22"/>
  <c r="E31" i="22"/>
  <c r="E30" i="22"/>
  <c r="G29" i="22"/>
  <c r="E29" i="22"/>
  <c r="K27" i="22"/>
  <c r="K21" i="22"/>
  <c r="M11" i="22"/>
  <c r="L11" i="22"/>
  <c r="O10" i="22"/>
  <c r="J10" i="22"/>
  <c r="N10" i="22" s="1"/>
  <c r="G10" i="22"/>
  <c r="C10" i="22"/>
  <c r="F10" i="22" s="1"/>
  <c r="O9" i="22"/>
  <c r="C9" i="22"/>
  <c r="F9" i="22" s="1"/>
  <c r="O8" i="22"/>
  <c r="J8" i="22"/>
  <c r="N8" i="22" s="1"/>
  <c r="P8" i="22" s="1"/>
  <c r="G8" i="22"/>
  <c r="C8" i="22"/>
  <c r="F8" i="22" s="1"/>
  <c r="O7" i="22"/>
  <c r="C7" i="22"/>
  <c r="F7" i="22" s="1"/>
  <c r="O3" i="22"/>
  <c r="G52" i="21"/>
  <c r="E51" i="21"/>
  <c r="E50" i="21"/>
  <c r="E49" i="21"/>
  <c r="J9" i="21" s="1"/>
  <c r="N9" i="21" s="1"/>
  <c r="E48" i="21"/>
  <c r="J8" i="21" s="1"/>
  <c r="N8" i="21" s="1"/>
  <c r="P8" i="21" s="1"/>
  <c r="E47" i="21"/>
  <c r="N43" i="21"/>
  <c r="F43" i="21"/>
  <c r="P16" i="21" s="1"/>
  <c r="E43" i="21"/>
  <c r="K42" i="21"/>
  <c r="P41" i="21"/>
  <c r="P43" i="21" s="1"/>
  <c r="K37" i="21"/>
  <c r="G37" i="21"/>
  <c r="E36" i="21"/>
  <c r="E35" i="21"/>
  <c r="E34" i="21"/>
  <c r="E33" i="21"/>
  <c r="K32" i="21"/>
  <c r="E32" i="21"/>
  <c r="E31" i="21"/>
  <c r="E30" i="21"/>
  <c r="G29" i="21"/>
  <c r="E29" i="21"/>
  <c r="K27" i="21"/>
  <c r="K21" i="21"/>
  <c r="M11" i="21"/>
  <c r="L11" i="21"/>
  <c r="O10" i="21"/>
  <c r="J10" i="21"/>
  <c r="N10" i="21" s="1"/>
  <c r="G10" i="21"/>
  <c r="C10" i="21"/>
  <c r="F10" i="21" s="1"/>
  <c r="O9" i="21"/>
  <c r="C9" i="21"/>
  <c r="O8" i="21"/>
  <c r="C8" i="21"/>
  <c r="F8" i="21" s="1"/>
  <c r="O7" i="21"/>
  <c r="C7" i="21"/>
  <c r="F7" i="21" s="1"/>
  <c r="O3" i="21"/>
  <c r="G52" i="20"/>
  <c r="E51" i="20"/>
  <c r="J10" i="20" s="1"/>
  <c r="N10" i="20" s="1"/>
  <c r="P10" i="20" s="1"/>
  <c r="E50" i="20"/>
  <c r="E49" i="20"/>
  <c r="E48" i="20"/>
  <c r="J8" i="20" s="1"/>
  <c r="N8" i="20" s="1"/>
  <c r="E47" i="20"/>
  <c r="E52" i="20" s="1"/>
  <c r="N43" i="20"/>
  <c r="F43" i="20"/>
  <c r="P16" i="20" s="1"/>
  <c r="E43" i="20"/>
  <c r="K42" i="20"/>
  <c r="P41" i="20"/>
  <c r="P43" i="20" s="1"/>
  <c r="K37" i="20"/>
  <c r="G37" i="20"/>
  <c r="E36" i="20"/>
  <c r="E35" i="20"/>
  <c r="E34" i="20"/>
  <c r="E33" i="20"/>
  <c r="K32" i="20"/>
  <c r="E32" i="20"/>
  <c r="E31" i="20"/>
  <c r="E30" i="20"/>
  <c r="G29" i="20"/>
  <c r="E29" i="20"/>
  <c r="K27" i="20"/>
  <c r="K21" i="20"/>
  <c r="M11" i="20"/>
  <c r="L11" i="20"/>
  <c r="O10" i="20"/>
  <c r="C10" i="20"/>
  <c r="F10" i="20" s="1"/>
  <c r="O9" i="20"/>
  <c r="J9" i="20"/>
  <c r="N9" i="20" s="1"/>
  <c r="G9" i="20"/>
  <c r="C9" i="20"/>
  <c r="F9" i="20" s="1"/>
  <c r="O8" i="20"/>
  <c r="C8" i="20"/>
  <c r="O7" i="20"/>
  <c r="C7" i="20"/>
  <c r="F7" i="20" s="1"/>
  <c r="O3" i="20"/>
  <c r="G52" i="19"/>
  <c r="E51" i="19"/>
  <c r="J10" i="19" s="1"/>
  <c r="N10" i="19" s="1"/>
  <c r="P10" i="19" s="1"/>
  <c r="E50" i="19"/>
  <c r="E49" i="19"/>
  <c r="G9" i="19" s="1"/>
  <c r="E48" i="19"/>
  <c r="E47" i="19"/>
  <c r="J7" i="19" s="1"/>
  <c r="N7" i="19" s="1"/>
  <c r="N43" i="19"/>
  <c r="F43" i="19"/>
  <c r="P16" i="19" s="1"/>
  <c r="E43" i="19"/>
  <c r="P15" i="19" s="1"/>
  <c r="K42" i="19"/>
  <c r="P41" i="19"/>
  <c r="P43" i="19" s="1"/>
  <c r="K37" i="19"/>
  <c r="G37" i="19"/>
  <c r="E36" i="19"/>
  <c r="E35" i="19"/>
  <c r="E34" i="19"/>
  <c r="E33" i="19"/>
  <c r="K32" i="19"/>
  <c r="E32" i="19"/>
  <c r="E31" i="19"/>
  <c r="E30" i="19"/>
  <c r="G29" i="19"/>
  <c r="E29" i="19"/>
  <c r="K27" i="19"/>
  <c r="K21" i="19"/>
  <c r="M11" i="19"/>
  <c r="L11" i="19"/>
  <c r="O10" i="19"/>
  <c r="G10" i="19"/>
  <c r="C10" i="19"/>
  <c r="F10" i="19" s="1"/>
  <c r="K10" i="19" s="1"/>
  <c r="Q10" i="19" s="1"/>
  <c r="O9" i="19"/>
  <c r="C9" i="19"/>
  <c r="F9" i="19" s="1"/>
  <c r="O8" i="19"/>
  <c r="J8" i="19"/>
  <c r="N8" i="19" s="1"/>
  <c r="G8" i="19"/>
  <c r="C8" i="19"/>
  <c r="F8" i="19" s="1"/>
  <c r="K8" i="19" s="1"/>
  <c r="Q8" i="19" s="1"/>
  <c r="O7" i="19"/>
  <c r="C7" i="19"/>
  <c r="F7" i="19" s="1"/>
  <c r="O3" i="19"/>
  <c r="G52" i="18"/>
  <c r="E51" i="18"/>
  <c r="J10" i="18" s="1"/>
  <c r="N10" i="18" s="1"/>
  <c r="P10" i="18" s="1"/>
  <c r="E50" i="18"/>
  <c r="E49" i="18"/>
  <c r="J9" i="18" s="1"/>
  <c r="N9" i="18" s="1"/>
  <c r="E48" i="18"/>
  <c r="J8" i="18" s="1"/>
  <c r="N8" i="18" s="1"/>
  <c r="E47" i="18"/>
  <c r="G7" i="18" s="1"/>
  <c r="N43" i="18"/>
  <c r="F43" i="18"/>
  <c r="P16" i="18" s="1"/>
  <c r="E43" i="18"/>
  <c r="P15" i="18" s="1"/>
  <c r="K42" i="18"/>
  <c r="P41" i="18"/>
  <c r="P43" i="18" s="1"/>
  <c r="K37" i="18"/>
  <c r="G37" i="18"/>
  <c r="E36" i="18"/>
  <c r="E35" i="18"/>
  <c r="E34" i="18"/>
  <c r="E33" i="18"/>
  <c r="K32" i="18"/>
  <c r="E32" i="18"/>
  <c r="E31" i="18"/>
  <c r="E30" i="18"/>
  <c r="G29" i="18"/>
  <c r="E29" i="18"/>
  <c r="K27" i="18"/>
  <c r="K21" i="18"/>
  <c r="M11" i="18"/>
  <c r="L11" i="18"/>
  <c r="O10" i="18"/>
  <c r="C10" i="18"/>
  <c r="F10" i="18" s="1"/>
  <c r="O9" i="18"/>
  <c r="C9" i="18"/>
  <c r="F9" i="18" s="1"/>
  <c r="O8" i="18"/>
  <c r="G8" i="18"/>
  <c r="C8" i="18"/>
  <c r="F8" i="18" s="1"/>
  <c r="K8" i="18" s="1"/>
  <c r="Q8" i="18" s="1"/>
  <c r="O7" i="18"/>
  <c r="C7" i="18"/>
  <c r="F7" i="18" s="1"/>
  <c r="O3" i="18"/>
  <c r="G52" i="17"/>
  <c r="E51" i="17"/>
  <c r="E50" i="17"/>
  <c r="E49" i="17"/>
  <c r="E48" i="17"/>
  <c r="E47" i="17"/>
  <c r="J7" i="17" s="1"/>
  <c r="P43" i="17"/>
  <c r="N43" i="17"/>
  <c r="F43" i="17"/>
  <c r="P16" i="17" s="1"/>
  <c r="E43" i="17"/>
  <c r="K42" i="17"/>
  <c r="P41" i="17"/>
  <c r="K37" i="17"/>
  <c r="G37" i="17"/>
  <c r="E36" i="17"/>
  <c r="E35" i="17"/>
  <c r="E34" i="17"/>
  <c r="E33" i="17"/>
  <c r="K32" i="17"/>
  <c r="E32" i="17"/>
  <c r="E31" i="17"/>
  <c r="E30" i="17"/>
  <c r="G29" i="17"/>
  <c r="E29" i="17"/>
  <c r="K27" i="17"/>
  <c r="K21" i="17"/>
  <c r="M11" i="17"/>
  <c r="L11" i="17"/>
  <c r="O10" i="17"/>
  <c r="J10" i="17"/>
  <c r="N10" i="17" s="1"/>
  <c r="G10" i="17"/>
  <c r="C10" i="17"/>
  <c r="F10" i="17" s="1"/>
  <c r="O9" i="17"/>
  <c r="J9" i="17"/>
  <c r="N9" i="17" s="1"/>
  <c r="G9" i="17"/>
  <c r="C9" i="17"/>
  <c r="F9" i="17" s="1"/>
  <c r="K9" i="17" s="1"/>
  <c r="Q9" i="17" s="1"/>
  <c r="O8" i="17"/>
  <c r="J8" i="17"/>
  <c r="N8" i="17" s="1"/>
  <c r="G8" i="17"/>
  <c r="C8" i="17"/>
  <c r="F8" i="17" s="1"/>
  <c r="K8" i="17" s="1"/>
  <c r="Q8" i="17" s="1"/>
  <c r="O7" i="17"/>
  <c r="C7" i="17"/>
  <c r="F7" i="17" s="1"/>
  <c r="O3" i="17"/>
  <c r="G52" i="16"/>
  <c r="E51" i="16"/>
  <c r="E50" i="16"/>
  <c r="E49" i="16"/>
  <c r="J9" i="16" s="1"/>
  <c r="N9" i="16" s="1"/>
  <c r="E48" i="16"/>
  <c r="J8" i="16" s="1"/>
  <c r="N8" i="16" s="1"/>
  <c r="P8" i="16" s="1"/>
  <c r="E47" i="16"/>
  <c r="N43" i="16"/>
  <c r="F43" i="16"/>
  <c r="P16" i="16" s="1"/>
  <c r="E43" i="16"/>
  <c r="K42" i="16"/>
  <c r="P41" i="16"/>
  <c r="P43" i="16" s="1"/>
  <c r="K37" i="16"/>
  <c r="G37" i="16"/>
  <c r="E36" i="16"/>
  <c r="E35" i="16"/>
  <c r="E34" i="16"/>
  <c r="E33" i="16"/>
  <c r="K32" i="16"/>
  <c r="E32" i="16"/>
  <c r="E31" i="16"/>
  <c r="E30" i="16"/>
  <c r="G29" i="16"/>
  <c r="E29" i="16"/>
  <c r="K27" i="16"/>
  <c r="K21" i="16"/>
  <c r="M11" i="16"/>
  <c r="L11" i="16"/>
  <c r="B11" i="16"/>
  <c r="O10" i="16"/>
  <c r="J10" i="16"/>
  <c r="N10" i="16" s="1"/>
  <c r="G10" i="16"/>
  <c r="C10" i="16"/>
  <c r="F10" i="16" s="1"/>
  <c r="O9" i="16"/>
  <c r="C9" i="16"/>
  <c r="F9" i="16" s="1"/>
  <c r="O8" i="16"/>
  <c r="C8" i="16"/>
  <c r="F8" i="16" s="1"/>
  <c r="O7" i="16"/>
  <c r="C7" i="16"/>
  <c r="F7" i="16" s="1"/>
  <c r="O3" i="16"/>
  <c r="G52" i="15"/>
  <c r="E51" i="15"/>
  <c r="E50" i="15"/>
  <c r="E49" i="15"/>
  <c r="E48" i="15"/>
  <c r="G8" i="15" s="1"/>
  <c r="E47" i="15"/>
  <c r="N43" i="15"/>
  <c r="F43" i="15"/>
  <c r="P16" i="15" s="1"/>
  <c r="E43" i="15"/>
  <c r="K42" i="15"/>
  <c r="P41" i="15"/>
  <c r="P43" i="15" s="1"/>
  <c r="K37" i="15"/>
  <c r="G37" i="15"/>
  <c r="E36" i="15"/>
  <c r="E35" i="15"/>
  <c r="E34" i="15"/>
  <c r="E33" i="15"/>
  <c r="K32" i="15"/>
  <c r="E32" i="15"/>
  <c r="E31" i="15"/>
  <c r="E30" i="15"/>
  <c r="G29" i="15"/>
  <c r="E29" i="15"/>
  <c r="K27" i="15"/>
  <c r="K21" i="15"/>
  <c r="M11" i="15"/>
  <c r="L11" i="15"/>
  <c r="B11" i="15"/>
  <c r="O10" i="15"/>
  <c r="J10" i="15"/>
  <c r="N10" i="15" s="1"/>
  <c r="G10" i="15"/>
  <c r="C10" i="15"/>
  <c r="F10" i="15" s="1"/>
  <c r="O9" i="15"/>
  <c r="J9" i="15"/>
  <c r="G9" i="15"/>
  <c r="C9" i="15"/>
  <c r="F9" i="15" s="1"/>
  <c r="O8" i="15"/>
  <c r="C8" i="15"/>
  <c r="O7" i="15"/>
  <c r="G7" i="15"/>
  <c r="C7" i="15"/>
  <c r="F7" i="15" s="1"/>
  <c r="O3" i="15"/>
  <c r="G52" i="14"/>
  <c r="E51" i="14"/>
  <c r="J10" i="14" s="1"/>
  <c r="N10" i="14" s="1"/>
  <c r="P10" i="14" s="1"/>
  <c r="E50" i="14"/>
  <c r="E49" i="14"/>
  <c r="G9" i="14" s="1"/>
  <c r="E48" i="14"/>
  <c r="E47" i="14"/>
  <c r="E52" i="14" s="1"/>
  <c r="N43" i="14"/>
  <c r="F43" i="14"/>
  <c r="P16" i="14" s="1"/>
  <c r="E43" i="14"/>
  <c r="P15" i="14" s="1"/>
  <c r="K42" i="14"/>
  <c r="P41" i="14"/>
  <c r="P43" i="14" s="1"/>
  <c r="K37" i="14"/>
  <c r="G37" i="14"/>
  <c r="E36" i="14"/>
  <c r="E35" i="14"/>
  <c r="E34" i="14"/>
  <c r="E33" i="14"/>
  <c r="K32" i="14"/>
  <c r="E32" i="14"/>
  <c r="E31" i="14"/>
  <c r="E30" i="14"/>
  <c r="G29" i="14"/>
  <c r="E29" i="14"/>
  <c r="K27" i="14"/>
  <c r="K21" i="14"/>
  <c r="M11" i="14"/>
  <c r="L11" i="14"/>
  <c r="B11" i="14"/>
  <c r="O10" i="14"/>
  <c r="C10" i="14"/>
  <c r="F10" i="14" s="1"/>
  <c r="O9" i="14"/>
  <c r="J9" i="14"/>
  <c r="N9" i="14" s="1"/>
  <c r="C9" i="14"/>
  <c r="F9" i="14" s="1"/>
  <c r="O8" i="14"/>
  <c r="J8" i="14"/>
  <c r="N8" i="14" s="1"/>
  <c r="G8" i="14"/>
  <c r="C8" i="14"/>
  <c r="O7" i="14"/>
  <c r="C7" i="14"/>
  <c r="F7" i="14" s="1"/>
  <c r="O3" i="14"/>
  <c r="G52" i="13"/>
  <c r="E51" i="13"/>
  <c r="E50" i="13"/>
  <c r="E49" i="13"/>
  <c r="G9" i="13" s="1"/>
  <c r="E48" i="13"/>
  <c r="E47" i="13"/>
  <c r="J7" i="13" s="1"/>
  <c r="N7" i="13" s="1"/>
  <c r="N43" i="13"/>
  <c r="F43" i="13"/>
  <c r="E43" i="13"/>
  <c r="P15" i="13" s="1"/>
  <c r="K42" i="13"/>
  <c r="P41" i="13"/>
  <c r="P43" i="13" s="1"/>
  <c r="K37" i="13"/>
  <c r="G37" i="13"/>
  <c r="E36" i="13"/>
  <c r="E35" i="13"/>
  <c r="E34" i="13"/>
  <c r="E33" i="13"/>
  <c r="K32" i="13"/>
  <c r="E32" i="13"/>
  <c r="E31" i="13"/>
  <c r="E30" i="13"/>
  <c r="G29" i="13"/>
  <c r="E29" i="13"/>
  <c r="K27" i="13"/>
  <c r="K21" i="13"/>
  <c r="M11" i="13"/>
  <c r="L11" i="13"/>
  <c r="B11" i="13"/>
  <c r="O10" i="13"/>
  <c r="J10" i="13"/>
  <c r="N10" i="13" s="1"/>
  <c r="G10" i="13"/>
  <c r="C10" i="13"/>
  <c r="F10" i="13" s="1"/>
  <c r="K10" i="13" s="1"/>
  <c r="Q10" i="13" s="1"/>
  <c r="O9" i="13"/>
  <c r="C9" i="13"/>
  <c r="F9" i="13" s="1"/>
  <c r="O8" i="13"/>
  <c r="J8" i="13"/>
  <c r="N8" i="13" s="1"/>
  <c r="G8" i="13"/>
  <c r="C8" i="13"/>
  <c r="F8" i="13" s="1"/>
  <c r="O7" i="13"/>
  <c r="C7" i="13"/>
  <c r="F7" i="13" s="1"/>
  <c r="O3" i="13"/>
  <c r="G52" i="12"/>
  <c r="E51" i="12"/>
  <c r="E50" i="12"/>
  <c r="E49" i="12"/>
  <c r="E48" i="12"/>
  <c r="E47" i="12"/>
  <c r="P43" i="12"/>
  <c r="N43" i="12"/>
  <c r="F43" i="12"/>
  <c r="P16" i="12" s="1"/>
  <c r="E43" i="12"/>
  <c r="P15" i="12" s="1"/>
  <c r="K42" i="12"/>
  <c r="P41" i="12"/>
  <c r="K37" i="12"/>
  <c r="G37" i="12"/>
  <c r="E36" i="12"/>
  <c r="E35" i="12"/>
  <c r="E34" i="12"/>
  <c r="E33" i="12"/>
  <c r="K32" i="12"/>
  <c r="E32" i="12"/>
  <c r="E31" i="12"/>
  <c r="E30" i="12"/>
  <c r="G29" i="12"/>
  <c r="E29" i="12"/>
  <c r="K27" i="12"/>
  <c r="K21" i="12"/>
  <c r="M11" i="12"/>
  <c r="L11" i="12"/>
  <c r="B11" i="12"/>
  <c r="O10" i="12"/>
  <c r="J10" i="12"/>
  <c r="N10" i="12" s="1"/>
  <c r="P10" i="12" s="1"/>
  <c r="G10" i="12"/>
  <c r="C10" i="12"/>
  <c r="F10" i="12" s="1"/>
  <c r="O9" i="12"/>
  <c r="J9" i="12"/>
  <c r="N9" i="12" s="1"/>
  <c r="G9" i="12"/>
  <c r="C9" i="12"/>
  <c r="F9" i="12" s="1"/>
  <c r="O8" i="12"/>
  <c r="J8" i="12"/>
  <c r="N8" i="12" s="1"/>
  <c r="P8" i="12" s="1"/>
  <c r="G8" i="12"/>
  <c r="C8" i="12"/>
  <c r="F8" i="12" s="1"/>
  <c r="O7" i="12"/>
  <c r="C7" i="12"/>
  <c r="F7" i="12" s="1"/>
  <c r="O3" i="12"/>
  <c r="G52" i="11"/>
  <c r="E51" i="11"/>
  <c r="G10" i="11" s="1"/>
  <c r="E50" i="11"/>
  <c r="E49" i="11"/>
  <c r="G9" i="11" s="1"/>
  <c r="E48" i="11"/>
  <c r="E47" i="11"/>
  <c r="J7" i="11" s="1"/>
  <c r="N43" i="11"/>
  <c r="F43" i="11"/>
  <c r="P16" i="11" s="1"/>
  <c r="E43" i="11"/>
  <c r="P15" i="11" s="1"/>
  <c r="K42" i="11"/>
  <c r="P41" i="11"/>
  <c r="P43" i="11" s="1"/>
  <c r="K37" i="11"/>
  <c r="G37" i="11"/>
  <c r="E36" i="11"/>
  <c r="E35" i="11"/>
  <c r="E34" i="11"/>
  <c r="E33" i="11"/>
  <c r="K32" i="11"/>
  <c r="E32" i="11"/>
  <c r="E31" i="11"/>
  <c r="E30" i="11"/>
  <c r="G29" i="11"/>
  <c r="E29" i="11"/>
  <c r="K27" i="11"/>
  <c r="K21" i="11"/>
  <c r="M11" i="11"/>
  <c r="L11" i="11"/>
  <c r="B11" i="11"/>
  <c r="O10" i="11"/>
  <c r="J10" i="11"/>
  <c r="N10" i="11" s="1"/>
  <c r="C10" i="11"/>
  <c r="F10" i="11" s="1"/>
  <c r="K10" i="11" s="1"/>
  <c r="Q10" i="11" s="1"/>
  <c r="O9" i="11"/>
  <c r="C9" i="11"/>
  <c r="F9" i="11" s="1"/>
  <c r="O8" i="11"/>
  <c r="J8" i="11"/>
  <c r="N8" i="11" s="1"/>
  <c r="P8" i="11" s="1"/>
  <c r="G8" i="11"/>
  <c r="C8" i="11"/>
  <c r="F8" i="11" s="1"/>
  <c r="O7" i="11"/>
  <c r="C7" i="11"/>
  <c r="F7" i="11" s="1"/>
  <c r="O3" i="11"/>
  <c r="G52" i="10"/>
  <c r="E51" i="10"/>
  <c r="G10" i="10" s="1"/>
  <c r="E50" i="10"/>
  <c r="E49" i="10"/>
  <c r="E48" i="10"/>
  <c r="E47" i="10"/>
  <c r="G7" i="10" s="1"/>
  <c r="P43" i="10"/>
  <c r="N43" i="10"/>
  <c r="F43" i="10"/>
  <c r="P16" i="10" s="1"/>
  <c r="E43" i="10"/>
  <c r="P15" i="10" s="1"/>
  <c r="K42" i="10"/>
  <c r="P41" i="10"/>
  <c r="K37" i="10"/>
  <c r="G37" i="10"/>
  <c r="E36" i="10"/>
  <c r="E35" i="10"/>
  <c r="E34" i="10"/>
  <c r="E33" i="10"/>
  <c r="K32" i="10"/>
  <c r="E32" i="10"/>
  <c r="E31" i="10"/>
  <c r="E30" i="10"/>
  <c r="G29" i="10"/>
  <c r="E29" i="10"/>
  <c r="K27" i="10"/>
  <c r="K21" i="10"/>
  <c r="M11" i="10"/>
  <c r="L11" i="10"/>
  <c r="B11" i="10"/>
  <c r="O10" i="10"/>
  <c r="C10" i="10"/>
  <c r="F10" i="10" s="1"/>
  <c r="O9" i="10"/>
  <c r="J9" i="10"/>
  <c r="N9" i="10" s="1"/>
  <c r="G9" i="10"/>
  <c r="C9" i="10"/>
  <c r="F9" i="10" s="1"/>
  <c r="K9" i="10" s="1"/>
  <c r="Q9" i="10" s="1"/>
  <c r="O8" i="10"/>
  <c r="J8" i="10"/>
  <c r="N8" i="10" s="1"/>
  <c r="P8" i="10" s="1"/>
  <c r="G8" i="10"/>
  <c r="C8" i="10"/>
  <c r="O7" i="10"/>
  <c r="C7" i="10"/>
  <c r="F7" i="10" s="1"/>
  <c r="O3" i="10"/>
  <c r="G52" i="9"/>
  <c r="E51" i="9"/>
  <c r="E50" i="9"/>
  <c r="E49" i="9"/>
  <c r="E48" i="9"/>
  <c r="J8" i="9" s="1"/>
  <c r="N8" i="9" s="1"/>
  <c r="E47" i="9"/>
  <c r="N43" i="9"/>
  <c r="F43" i="9"/>
  <c r="P16" i="9" s="1"/>
  <c r="E43" i="9"/>
  <c r="P15" i="9" s="1"/>
  <c r="K42" i="9"/>
  <c r="P41" i="9"/>
  <c r="P43" i="9" s="1"/>
  <c r="K37" i="9"/>
  <c r="G37" i="9"/>
  <c r="E36" i="9"/>
  <c r="E35" i="9"/>
  <c r="E34" i="9"/>
  <c r="E33" i="9"/>
  <c r="K32" i="9"/>
  <c r="E32" i="9"/>
  <c r="E31" i="9"/>
  <c r="E30" i="9"/>
  <c r="G29" i="9"/>
  <c r="E29" i="9"/>
  <c r="K27" i="9"/>
  <c r="K21" i="9"/>
  <c r="M11" i="9"/>
  <c r="L11" i="9"/>
  <c r="B11" i="9"/>
  <c r="O10" i="9"/>
  <c r="J10" i="9"/>
  <c r="N10" i="9" s="1"/>
  <c r="G10" i="9"/>
  <c r="C10" i="9"/>
  <c r="F10" i="9" s="1"/>
  <c r="O9" i="9"/>
  <c r="J9" i="9"/>
  <c r="N9" i="9" s="1"/>
  <c r="G9" i="9"/>
  <c r="C9" i="9"/>
  <c r="F9" i="9" s="1"/>
  <c r="O8" i="9"/>
  <c r="C8" i="9"/>
  <c r="C11" i="9" s="1"/>
  <c r="O7" i="9"/>
  <c r="C7" i="9"/>
  <c r="F7" i="9" s="1"/>
  <c r="O3" i="9"/>
  <c r="G52" i="8"/>
  <c r="E51" i="8"/>
  <c r="J10" i="8" s="1"/>
  <c r="N10" i="8" s="1"/>
  <c r="E50" i="8"/>
  <c r="E49" i="8"/>
  <c r="G9" i="8" s="1"/>
  <c r="E48" i="8"/>
  <c r="J8" i="8" s="1"/>
  <c r="N8" i="8" s="1"/>
  <c r="P8" i="8" s="1"/>
  <c r="E47" i="8"/>
  <c r="G7" i="8" s="1"/>
  <c r="N43" i="8"/>
  <c r="F43" i="8"/>
  <c r="P16" i="8" s="1"/>
  <c r="E43" i="8"/>
  <c r="K42" i="8"/>
  <c r="P41" i="8"/>
  <c r="P43" i="8" s="1"/>
  <c r="K37" i="8"/>
  <c r="G37" i="8"/>
  <c r="E36" i="8"/>
  <c r="E35" i="8"/>
  <c r="E34" i="8"/>
  <c r="E33" i="8"/>
  <c r="K32" i="8"/>
  <c r="E32" i="8"/>
  <c r="E31" i="8"/>
  <c r="E30" i="8"/>
  <c r="G29" i="8"/>
  <c r="E29" i="8"/>
  <c r="K27" i="8"/>
  <c r="K21" i="8"/>
  <c r="M11" i="8"/>
  <c r="L11" i="8"/>
  <c r="B11" i="8"/>
  <c r="O10" i="8"/>
  <c r="G10" i="8"/>
  <c r="C10" i="8"/>
  <c r="F10" i="8" s="1"/>
  <c r="K10" i="8" s="1"/>
  <c r="Q10" i="8" s="1"/>
  <c r="O9" i="8"/>
  <c r="J9" i="8"/>
  <c r="N9" i="8" s="1"/>
  <c r="P9" i="8" s="1"/>
  <c r="C9" i="8"/>
  <c r="F9" i="8" s="1"/>
  <c r="O8" i="8"/>
  <c r="C8" i="8"/>
  <c r="O7" i="8"/>
  <c r="C7" i="8"/>
  <c r="F7" i="8" s="1"/>
  <c r="O3" i="8"/>
  <c r="G52" i="7"/>
  <c r="E51" i="7"/>
  <c r="E50" i="7"/>
  <c r="E49" i="7"/>
  <c r="E48" i="7"/>
  <c r="G8" i="7" s="1"/>
  <c r="E47" i="7"/>
  <c r="P43" i="7"/>
  <c r="N43" i="7"/>
  <c r="F43" i="7"/>
  <c r="P16" i="7" s="1"/>
  <c r="E43" i="7"/>
  <c r="P15" i="7" s="1"/>
  <c r="K42" i="7"/>
  <c r="P41" i="7"/>
  <c r="K37" i="7"/>
  <c r="G37" i="7"/>
  <c r="E36" i="7"/>
  <c r="E35" i="7"/>
  <c r="E34" i="7"/>
  <c r="E33" i="7"/>
  <c r="K32" i="7"/>
  <c r="E32" i="7"/>
  <c r="E31" i="7"/>
  <c r="E30" i="7"/>
  <c r="G29" i="7"/>
  <c r="E29" i="7"/>
  <c r="K27" i="7"/>
  <c r="K21" i="7"/>
  <c r="M11" i="7"/>
  <c r="L11" i="7"/>
  <c r="B11" i="7"/>
  <c r="O10" i="7"/>
  <c r="J10" i="7"/>
  <c r="N10" i="7" s="1"/>
  <c r="G10" i="7"/>
  <c r="C10" i="7"/>
  <c r="F10" i="7" s="1"/>
  <c r="O9" i="7"/>
  <c r="J9" i="7"/>
  <c r="N9" i="7" s="1"/>
  <c r="G9" i="7"/>
  <c r="C9" i="7"/>
  <c r="F9" i="7" s="1"/>
  <c r="O8" i="7"/>
  <c r="J8" i="7"/>
  <c r="N8" i="7" s="1"/>
  <c r="C8" i="7"/>
  <c r="O7" i="7"/>
  <c r="C7" i="7"/>
  <c r="F7" i="7" s="1"/>
  <c r="O3" i="7"/>
  <c r="G52" i="6"/>
  <c r="E51" i="6"/>
  <c r="J10" i="6" s="1"/>
  <c r="N10" i="6" s="1"/>
  <c r="P10" i="6" s="1"/>
  <c r="E50" i="6"/>
  <c r="E49" i="6"/>
  <c r="J9" i="6" s="1"/>
  <c r="N9" i="6" s="1"/>
  <c r="E48" i="6"/>
  <c r="E47" i="6"/>
  <c r="G7" i="6" s="1"/>
  <c r="N43" i="6"/>
  <c r="F43" i="6"/>
  <c r="P16" i="6" s="1"/>
  <c r="E43" i="6"/>
  <c r="P15" i="6" s="1"/>
  <c r="K42" i="6"/>
  <c r="P41" i="6"/>
  <c r="P43" i="6" s="1"/>
  <c r="K37" i="6"/>
  <c r="G37" i="6"/>
  <c r="E36" i="6"/>
  <c r="E35" i="6"/>
  <c r="E34" i="6"/>
  <c r="E33" i="6"/>
  <c r="K32" i="6"/>
  <c r="E32" i="6"/>
  <c r="E31" i="6"/>
  <c r="E30" i="6"/>
  <c r="G29" i="6"/>
  <c r="E29" i="6"/>
  <c r="K27" i="6"/>
  <c r="K21" i="6"/>
  <c r="M11" i="6"/>
  <c r="L11" i="6"/>
  <c r="B11" i="6"/>
  <c r="O10" i="6"/>
  <c r="C10" i="6"/>
  <c r="F10" i="6" s="1"/>
  <c r="O9" i="6"/>
  <c r="G9" i="6"/>
  <c r="C9" i="6"/>
  <c r="F9" i="6" s="1"/>
  <c r="O8" i="6"/>
  <c r="J8" i="6"/>
  <c r="N8" i="6" s="1"/>
  <c r="G8" i="6"/>
  <c r="C8" i="6"/>
  <c r="F8" i="6" s="1"/>
  <c r="O7" i="6"/>
  <c r="C7" i="6"/>
  <c r="F7" i="6" s="1"/>
  <c r="O3" i="6"/>
  <c r="B11" i="5"/>
  <c r="G52" i="5"/>
  <c r="E51" i="5"/>
  <c r="E50" i="5"/>
  <c r="E49" i="5"/>
  <c r="E48" i="5"/>
  <c r="J8" i="5" s="1"/>
  <c r="N8" i="5" s="1"/>
  <c r="E47" i="5"/>
  <c r="N43" i="5"/>
  <c r="F43" i="5"/>
  <c r="P16" i="5" s="1"/>
  <c r="E43" i="5"/>
  <c r="P15" i="5" s="1"/>
  <c r="K42" i="5"/>
  <c r="P41" i="5"/>
  <c r="P43" i="5" s="1"/>
  <c r="K37" i="5"/>
  <c r="G37" i="5"/>
  <c r="E36" i="5"/>
  <c r="E35" i="5"/>
  <c r="E34" i="5"/>
  <c r="E33" i="5"/>
  <c r="K32" i="5"/>
  <c r="E32" i="5"/>
  <c r="E31" i="5"/>
  <c r="E30" i="5"/>
  <c r="G29" i="5"/>
  <c r="E29" i="5"/>
  <c r="K27" i="5"/>
  <c r="K21" i="5"/>
  <c r="M11" i="5"/>
  <c r="L11" i="5"/>
  <c r="O10" i="5"/>
  <c r="J10" i="5"/>
  <c r="N10" i="5" s="1"/>
  <c r="G10" i="5"/>
  <c r="C10" i="5"/>
  <c r="F10" i="5" s="1"/>
  <c r="O9" i="5"/>
  <c r="J9" i="5"/>
  <c r="N9" i="5" s="1"/>
  <c r="G9" i="5"/>
  <c r="C9" i="5"/>
  <c r="F9" i="5" s="1"/>
  <c r="O8" i="5"/>
  <c r="C8" i="5"/>
  <c r="F8" i="5" s="1"/>
  <c r="O7" i="5"/>
  <c r="C7" i="5"/>
  <c r="F7" i="5" s="1"/>
  <c r="O3" i="5"/>
  <c r="G52" i="4"/>
  <c r="E51" i="4"/>
  <c r="E50" i="4"/>
  <c r="E49" i="4"/>
  <c r="J9" i="4" s="1"/>
  <c r="N9" i="4" s="1"/>
  <c r="E48" i="4"/>
  <c r="J8" i="4" s="1"/>
  <c r="N8" i="4" s="1"/>
  <c r="E47" i="4"/>
  <c r="J7" i="4" s="1"/>
  <c r="P43" i="4"/>
  <c r="N43" i="4"/>
  <c r="F43" i="4"/>
  <c r="P16" i="4" s="1"/>
  <c r="E43" i="4"/>
  <c r="P15" i="4" s="1"/>
  <c r="K42" i="4"/>
  <c r="P41" i="4"/>
  <c r="K37" i="4"/>
  <c r="G37" i="4"/>
  <c r="E36" i="4"/>
  <c r="E35" i="4"/>
  <c r="E34" i="4"/>
  <c r="E33" i="4"/>
  <c r="K32" i="4"/>
  <c r="E32" i="4"/>
  <c r="E31" i="4"/>
  <c r="E30" i="4"/>
  <c r="G29" i="4"/>
  <c r="E29" i="4"/>
  <c r="K27" i="4"/>
  <c r="K21" i="4"/>
  <c r="M11" i="4"/>
  <c r="L11" i="4"/>
  <c r="O10" i="4"/>
  <c r="J10" i="4"/>
  <c r="N10" i="4" s="1"/>
  <c r="G10" i="4"/>
  <c r="C10" i="4"/>
  <c r="F10" i="4" s="1"/>
  <c r="O9" i="4"/>
  <c r="C9" i="4"/>
  <c r="F9" i="4" s="1"/>
  <c r="O8" i="4"/>
  <c r="G8" i="4"/>
  <c r="C8" i="4"/>
  <c r="O7" i="4"/>
  <c r="C7" i="4"/>
  <c r="F7" i="4" s="1"/>
  <c r="O3" i="4"/>
  <c r="G52" i="3"/>
  <c r="E51" i="3"/>
  <c r="E50" i="3"/>
  <c r="E49" i="3"/>
  <c r="J9" i="3" s="1"/>
  <c r="N9" i="3" s="1"/>
  <c r="E48" i="3"/>
  <c r="J8" i="3" s="1"/>
  <c r="N8" i="3" s="1"/>
  <c r="E47" i="3"/>
  <c r="N43" i="3"/>
  <c r="F43" i="3"/>
  <c r="P16" i="3" s="1"/>
  <c r="E43" i="3"/>
  <c r="P15" i="3" s="1"/>
  <c r="K42" i="3"/>
  <c r="P41" i="3"/>
  <c r="P43" i="3" s="1"/>
  <c r="K37" i="3"/>
  <c r="G37" i="3"/>
  <c r="E36" i="3"/>
  <c r="E35" i="3"/>
  <c r="E34" i="3"/>
  <c r="E33" i="3"/>
  <c r="K32" i="3"/>
  <c r="E32" i="3"/>
  <c r="E31" i="3"/>
  <c r="E30" i="3"/>
  <c r="G29" i="3"/>
  <c r="E29" i="3"/>
  <c r="K27" i="3"/>
  <c r="K21" i="3"/>
  <c r="M11" i="3"/>
  <c r="L11" i="3"/>
  <c r="O10" i="3"/>
  <c r="J10" i="3"/>
  <c r="N10" i="3" s="1"/>
  <c r="G10" i="3"/>
  <c r="C10" i="3"/>
  <c r="F10" i="3" s="1"/>
  <c r="K10" i="3" s="1"/>
  <c r="Q10" i="3" s="1"/>
  <c r="O9" i="3"/>
  <c r="C9" i="3"/>
  <c r="F9" i="3" s="1"/>
  <c r="O8" i="3"/>
  <c r="G8" i="3"/>
  <c r="C8" i="3"/>
  <c r="F8" i="3" s="1"/>
  <c r="K8" i="3" s="1"/>
  <c r="Q8" i="3" s="1"/>
  <c r="O7" i="3"/>
  <c r="C7" i="3"/>
  <c r="F7" i="3" s="1"/>
  <c r="O3" i="3"/>
  <c r="K10" i="31" l="1"/>
  <c r="Q10" i="31" s="1"/>
  <c r="P9" i="31"/>
  <c r="P10" i="31"/>
  <c r="E37" i="31"/>
  <c r="E52" i="31"/>
  <c r="E37" i="29"/>
  <c r="C11" i="29"/>
  <c r="P9" i="29"/>
  <c r="P9" i="28"/>
  <c r="E37" i="28"/>
  <c r="P8" i="28"/>
  <c r="C11" i="28"/>
  <c r="J8" i="27"/>
  <c r="N8" i="27" s="1"/>
  <c r="P8" i="27" s="1"/>
  <c r="K8" i="27"/>
  <c r="Q8" i="27" s="1"/>
  <c r="K10" i="27"/>
  <c r="Q10" i="27" s="1"/>
  <c r="P9" i="27"/>
  <c r="E37" i="27"/>
  <c r="J10" i="26"/>
  <c r="N10" i="26" s="1"/>
  <c r="P10" i="26" s="1"/>
  <c r="P8" i="26"/>
  <c r="K10" i="26"/>
  <c r="Q10" i="26" s="1"/>
  <c r="E37" i="26"/>
  <c r="P9" i="25"/>
  <c r="J10" i="25"/>
  <c r="N10" i="25" s="1"/>
  <c r="P10" i="25" s="1"/>
  <c r="K8" i="25"/>
  <c r="Q8" i="25" s="1"/>
  <c r="P8" i="25"/>
  <c r="K10" i="25"/>
  <c r="Q10" i="25" s="1"/>
  <c r="E37" i="25"/>
  <c r="E37" i="24"/>
  <c r="P8" i="24"/>
  <c r="K10" i="24"/>
  <c r="Q10" i="24" s="1"/>
  <c r="P9" i="24"/>
  <c r="P9" i="23"/>
  <c r="P10" i="23"/>
  <c r="E37" i="23"/>
  <c r="E52" i="23"/>
  <c r="P8" i="23"/>
  <c r="K8" i="22"/>
  <c r="Q8" i="22" s="1"/>
  <c r="P10" i="22"/>
  <c r="E37" i="22"/>
  <c r="J9" i="22"/>
  <c r="N9" i="22" s="1"/>
  <c r="P9" i="22" s="1"/>
  <c r="K10" i="22"/>
  <c r="Q10" i="22" s="1"/>
  <c r="K8" i="21"/>
  <c r="Q8" i="21" s="1"/>
  <c r="K10" i="21"/>
  <c r="Q10" i="21" s="1"/>
  <c r="P9" i="21"/>
  <c r="G8" i="21"/>
  <c r="E37" i="21"/>
  <c r="E52" i="21"/>
  <c r="K10" i="20"/>
  <c r="Q10" i="20" s="1"/>
  <c r="P8" i="20"/>
  <c r="E37" i="20"/>
  <c r="P9" i="20"/>
  <c r="J9" i="19"/>
  <c r="E37" i="19"/>
  <c r="P8" i="19"/>
  <c r="G10" i="18"/>
  <c r="E37" i="18"/>
  <c r="P8" i="18"/>
  <c r="P9" i="18"/>
  <c r="K10" i="18"/>
  <c r="Q10" i="18" s="1"/>
  <c r="P10" i="17"/>
  <c r="E37" i="17"/>
  <c r="K10" i="17"/>
  <c r="Q10" i="17" s="1"/>
  <c r="C11" i="17"/>
  <c r="P8" i="17"/>
  <c r="P9" i="17"/>
  <c r="K10" i="16"/>
  <c r="Q10" i="16" s="1"/>
  <c r="P10" i="16"/>
  <c r="G8" i="16"/>
  <c r="P9" i="16"/>
  <c r="K8" i="16"/>
  <c r="Q8" i="16" s="1"/>
  <c r="E37" i="16"/>
  <c r="G43" i="16"/>
  <c r="E52" i="16"/>
  <c r="E37" i="15"/>
  <c r="K9" i="15"/>
  <c r="Q9" i="15" s="1"/>
  <c r="J8" i="15"/>
  <c r="N8" i="15" s="1"/>
  <c r="P8" i="15" s="1"/>
  <c r="E52" i="15"/>
  <c r="P8" i="14"/>
  <c r="P9" i="14"/>
  <c r="K10" i="14"/>
  <c r="Q10" i="14" s="1"/>
  <c r="G10" i="14"/>
  <c r="E37" i="14"/>
  <c r="J9" i="13"/>
  <c r="N9" i="13" s="1"/>
  <c r="P9" i="13" s="1"/>
  <c r="P8" i="13"/>
  <c r="K8" i="13"/>
  <c r="Q8" i="13" s="1"/>
  <c r="K9" i="13"/>
  <c r="Q9" i="13" s="1"/>
  <c r="E37" i="13"/>
  <c r="K8" i="12"/>
  <c r="Q8" i="12" s="1"/>
  <c r="K9" i="12"/>
  <c r="Q9" i="12" s="1"/>
  <c r="P9" i="12"/>
  <c r="E37" i="12"/>
  <c r="E52" i="12"/>
  <c r="K10" i="12"/>
  <c r="Q10" i="12" s="1"/>
  <c r="K8" i="11"/>
  <c r="Q8" i="11" s="1"/>
  <c r="P10" i="11"/>
  <c r="E37" i="11"/>
  <c r="E37" i="10"/>
  <c r="P9" i="10"/>
  <c r="K9" i="9"/>
  <c r="Q9" i="9" s="1"/>
  <c r="K10" i="9"/>
  <c r="Q10" i="9" s="1"/>
  <c r="P8" i="9"/>
  <c r="G8" i="9"/>
  <c r="P10" i="9"/>
  <c r="P9" i="9"/>
  <c r="E37" i="9"/>
  <c r="E52" i="9"/>
  <c r="E37" i="8"/>
  <c r="P10" i="8"/>
  <c r="K9" i="7"/>
  <c r="Q9" i="7" s="1"/>
  <c r="E52" i="7"/>
  <c r="K10" i="7"/>
  <c r="Q10" i="7" s="1"/>
  <c r="P8" i="7"/>
  <c r="P9" i="7"/>
  <c r="E37" i="7"/>
  <c r="P8" i="6"/>
  <c r="G10" i="6"/>
  <c r="C11" i="6"/>
  <c r="K10" i="6"/>
  <c r="Q10" i="6" s="1"/>
  <c r="E37" i="6"/>
  <c r="K8" i="6"/>
  <c r="Q8" i="6" s="1"/>
  <c r="P9" i="6"/>
  <c r="K9" i="5"/>
  <c r="Q9" i="5" s="1"/>
  <c r="K10" i="5"/>
  <c r="Q10" i="5" s="1"/>
  <c r="E37" i="5"/>
  <c r="P8" i="5"/>
  <c r="K8" i="5"/>
  <c r="Q8" i="5" s="1"/>
  <c r="G8" i="5"/>
  <c r="P9" i="5"/>
  <c r="P10" i="5"/>
  <c r="E52" i="5"/>
  <c r="P10" i="4"/>
  <c r="K10" i="4"/>
  <c r="Q10" i="4" s="1"/>
  <c r="E37" i="4"/>
  <c r="P8" i="4"/>
  <c r="P9" i="4"/>
  <c r="P9" i="3"/>
  <c r="P10" i="3"/>
  <c r="K9" i="3"/>
  <c r="Q9" i="3" s="1"/>
  <c r="E37" i="3"/>
  <c r="E52" i="3"/>
  <c r="P8" i="3"/>
  <c r="J9" i="32"/>
  <c r="N9" i="32" s="1"/>
  <c r="P9" i="32" s="1"/>
  <c r="P10" i="32"/>
  <c r="E37" i="32"/>
  <c r="K10" i="32"/>
  <c r="Q10" i="32" s="1"/>
  <c r="C11" i="32"/>
  <c r="K9" i="32"/>
  <c r="Q9" i="32" s="1"/>
  <c r="G11" i="32"/>
  <c r="J7" i="32"/>
  <c r="N7" i="32" s="1"/>
  <c r="P7" i="32" s="1"/>
  <c r="E52" i="32"/>
  <c r="K52" i="32"/>
  <c r="N8" i="32"/>
  <c r="P8" i="32" s="1"/>
  <c r="F11" i="32"/>
  <c r="G43" i="32"/>
  <c r="G9" i="31"/>
  <c r="K10" i="29"/>
  <c r="Q10" i="29" s="1"/>
  <c r="G10" i="29"/>
  <c r="G9" i="29"/>
  <c r="P8" i="29"/>
  <c r="K9" i="31"/>
  <c r="Q9" i="31" s="1"/>
  <c r="G43" i="31"/>
  <c r="K52" i="31"/>
  <c r="F11" i="31"/>
  <c r="J8" i="31"/>
  <c r="N8" i="31" s="1"/>
  <c r="P8" i="31" s="1"/>
  <c r="G7" i="31"/>
  <c r="C11" i="31"/>
  <c r="J7" i="31"/>
  <c r="K9" i="29"/>
  <c r="Q9" i="29" s="1"/>
  <c r="G7" i="29"/>
  <c r="E52" i="29"/>
  <c r="G43" i="29"/>
  <c r="P15" i="29"/>
  <c r="K52" i="29"/>
  <c r="K7" i="29"/>
  <c r="N11" i="29"/>
  <c r="O13" i="29" s="1"/>
  <c r="P7" i="29"/>
  <c r="P11" i="29" s="1"/>
  <c r="P13" i="29" s="1"/>
  <c r="F8" i="29"/>
  <c r="K8" i="29" s="1"/>
  <c r="Q8" i="29" s="1"/>
  <c r="J11" i="29"/>
  <c r="G10" i="28"/>
  <c r="K10" i="28"/>
  <c r="Q10" i="28" s="1"/>
  <c r="G43" i="28"/>
  <c r="K52" i="28"/>
  <c r="N7" i="28"/>
  <c r="J11" i="28"/>
  <c r="K7" i="28"/>
  <c r="F9" i="28"/>
  <c r="K9" i="28" s="1"/>
  <c r="Q9" i="28" s="1"/>
  <c r="G7" i="28"/>
  <c r="E52" i="28"/>
  <c r="P10" i="27"/>
  <c r="K9" i="27"/>
  <c r="Q9" i="27" s="1"/>
  <c r="E52" i="27"/>
  <c r="G43" i="27"/>
  <c r="K52" i="27"/>
  <c r="C11" i="27"/>
  <c r="F11" i="27"/>
  <c r="G7" i="27"/>
  <c r="G11" i="27" s="1"/>
  <c r="J7" i="27"/>
  <c r="J9" i="26"/>
  <c r="N9" i="26" s="1"/>
  <c r="P9" i="26" s="1"/>
  <c r="G43" i="26"/>
  <c r="K52" i="26"/>
  <c r="F11" i="26"/>
  <c r="C11" i="26"/>
  <c r="G7" i="26"/>
  <c r="G11" i="26" s="1"/>
  <c r="J7" i="26"/>
  <c r="K9" i="25"/>
  <c r="Q9" i="25" s="1"/>
  <c r="G8" i="25"/>
  <c r="P15" i="25"/>
  <c r="K52" i="25"/>
  <c r="C11" i="25"/>
  <c r="F11" i="25"/>
  <c r="G7" i="25"/>
  <c r="J7" i="25"/>
  <c r="F8" i="24"/>
  <c r="K8" i="24" s="1"/>
  <c r="Q8" i="24" s="1"/>
  <c r="K9" i="24"/>
  <c r="Q9" i="24" s="1"/>
  <c r="G11" i="24"/>
  <c r="J7" i="24"/>
  <c r="K7" i="24" s="1"/>
  <c r="E52" i="24"/>
  <c r="K52" i="24"/>
  <c r="G43" i="24"/>
  <c r="K9" i="23"/>
  <c r="Q9" i="23" s="1"/>
  <c r="G9" i="23"/>
  <c r="G43" i="23"/>
  <c r="K52" i="23"/>
  <c r="F11" i="23"/>
  <c r="G7" i="23"/>
  <c r="G11" i="23" s="1"/>
  <c r="J7" i="23"/>
  <c r="C11" i="23"/>
  <c r="G11" i="22"/>
  <c r="E52" i="22"/>
  <c r="J7" i="22"/>
  <c r="K7" i="22" s="1"/>
  <c r="G43" i="22"/>
  <c r="K52" i="22"/>
  <c r="F11" i="22"/>
  <c r="C11" i="22"/>
  <c r="C11" i="21"/>
  <c r="P10" i="21"/>
  <c r="G9" i="21"/>
  <c r="K52" i="21"/>
  <c r="P15" i="21"/>
  <c r="G43" i="21"/>
  <c r="F9" i="21"/>
  <c r="K9" i="21" s="1"/>
  <c r="Q9" i="21" s="1"/>
  <c r="G7" i="21"/>
  <c r="J7" i="21"/>
  <c r="C11" i="20"/>
  <c r="K9" i="20"/>
  <c r="Q9" i="20" s="1"/>
  <c r="G8" i="20"/>
  <c r="K52" i="20"/>
  <c r="G43" i="20"/>
  <c r="P15" i="20"/>
  <c r="F8" i="20"/>
  <c r="K8" i="20" s="1"/>
  <c r="Q8" i="20" s="1"/>
  <c r="G7" i="20"/>
  <c r="G10" i="20"/>
  <c r="J7" i="20"/>
  <c r="G7" i="19"/>
  <c r="G11" i="19" s="1"/>
  <c r="E52" i="19"/>
  <c r="K52" i="19"/>
  <c r="F11" i="19"/>
  <c r="K7" i="19"/>
  <c r="K9" i="19"/>
  <c r="Q9" i="19" s="1"/>
  <c r="K11" i="19"/>
  <c r="G43" i="19"/>
  <c r="P7" i="19"/>
  <c r="Q7" i="19"/>
  <c r="C11" i="19"/>
  <c r="N9" i="19"/>
  <c r="P9" i="19" s="1"/>
  <c r="J11" i="19"/>
  <c r="C11" i="18"/>
  <c r="K9" i="18"/>
  <c r="Q9" i="18" s="1"/>
  <c r="G9" i="18"/>
  <c r="G11" i="18" s="1"/>
  <c r="G43" i="18"/>
  <c r="K52" i="18"/>
  <c r="F11" i="18"/>
  <c r="J7" i="18"/>
  <c r="K7" i="18" s="1"/>
  <c r="E52" i="18"/>
  <c r="K52" i="17"/>
  <c r="E52" i="17"/>
  <c r="G43" i="17"/>
  <c r="F11" i="17"/>
  <c r="K7" i="17"/>
  <c r="J11" i="17"/>
  <c r="N7" i="17"/>
  <c r="P15" i="17"/>
  <c r="G7" i="17"/>
  <c r="G11" i="17" s="1"/>
  <c r="K9" i="16"/>
  <c r="Q9" i="16" s="1"/>
  <c r="G9" i="16"/>
  <c r="P15" i="16"/>
  <c r="K52" i="16"/>
  <c r="F11" i="16"/>
  <c r="G7" i="16"/>
  <c r="J7" i="16"/>
  <c r="C11" i="16"/>
  <c r="K10" i="15"/>
  <c r="Q10" i="15" s="1"/>
  <c r="P10" i="15"/>
  <c r="G11" i="15"/>
  <c r="J7" i="15"/>
  <c r="N7" i="15" s="1"/>
  <c r="P7" i="15" s="1"/>
  <c r="K52" i="15"/>
  <c r="P15" i="15"/>
  <c r="C11" i="15"/>
  <c r="G43" i="15"/>
  <c r="F8" i="15"/>
  <c r="N9" i="15"/>
  <c r="P9" i="15" s="1"/>
  <c r="C11" i="14"/>
  <c r="K9" i="14"/>
  <c r="Q9" i="14" s="1"/>
  <c r="G43" i="14"/>
  <c r="K52" i="14"/>
  <c r="F8" i="14"/>
  <c r="K8" i="14" s="1"/>
  <c r="Q8" i="14" s="1"/>
  <c r="G7" i="14"/>
  <c r="J7" i="14"/>
  <c r="P10" i="13"/>
  <c r="P7" i="13"/>
  <c r="G7" i="13"/>
  <c r="G11" i="13" s="1"/>
  <c r="E52" i="13"/>
  <c r="K52" i="13"/>
  <c r="G43" i="13"/>
  <c r="N11" i="13"/>
  <c r="O13" i="13" s="1"/>
  <c r="K7" i="13"/>
  <c r="F11" i="13"/>
  <c r="C11" i="13"/>
  <c r="P16" i="13"/>
  <c r="J11" i="13"/>
  <c r="G43" i="12"/>
  <c r="K52" i="12"/>
  <c r="F11" i="12"/>
  <c r="C11" i="12"/>
  <c r="J7" i="12"/>
  <c r="G7" i="12"/>
  <c r="G11" i="12" s="1"/>
  <c r="J9" i="11"/>
  <c r="N9" i="11" s="1"/>
  <c r="P9" i="11" s="1"/>
  <c r="K52" i="11"/>
  <c r="G43" i="11"/>
  <c r="N7" i="11"/>
  <c r="K7" i="11"/>
  <c r="F11" i="11"/>
  <c r="C11" i="11"/>
  <c r="G7" i="11"/>
  <c r="G11" i="11" s="1"/>
  <c r="E52" i="11"/>
  <c r="C11" i="10"/>
  <c r="J10" i="10"/>
  <c r="N10" i="10" s="1"/>
  <c r="P10" i="10" s="1"/>
  <c r="K52" i="10"/>
  <c r="G43" i="10"/>
  <c r="J7" i="10"/>
  <c r="F8" i="10"/>
  <c r="K8" i="10" s="1"/>
  <c r="Q8" i="10" s="1"/>
  <c r="E52" i="10"/>
  <c r="G11" i="10"/>
  <c r="K52" i="9"/>
  <c r="G43" i="9"/>
  <c r="J7" i="9"/>
  <c r="G7" i="9"/>
  <c r="F8" i="9"/>
  <c r="K8" i="9" s="1"/>
  <c r="Q8" i="9" s="1"/>
  <c r="G8" i="8"/>
  <c r="K52" i="8"/>
  <c r="G43" i="8"/>
  <c r="P15" i="8"/>
  <c r="C11" i="8"/>
  <c r="K9" i="8"/>
  <c r="Q9" i="8" s="1"/>
  <c r="J7" i="8"/>
  <c r="F8" i="8"/>
  <c r="K8" i="8" s="1"/>
  <c r="Q8" i="8" s="1"/>
  <c r="E52" i="8"/>
  <c r="C11" i="7"/>
  <c r="P10" i="7"/>
  <c r="K52" i="7"/>
  <c r="G43" i="7"/>
  <c r="F8" i="7"/>
  <c r="K8" i="7" s="1"/>
  <c r="Q8" i="7" s="1"/>
  <c r="J7" i="7"/>
  <c r="G7" i="7"/>
  <c r="G11" i="7" s="1"/>
  <c r="K9" i="6"/>
  <c r="Q9" i="6" s="1"/>
  <c r="K52" i="6"/>
  <c r="G43" i="6"/>
  <c r="F11" i="6"/>
  <c r="J7" i="6"/>
  <c r="E52" i="6"/>
  <c r="G11" i="6"/>
  <c r="F11" i="5"/>
  <c r="G43" i="5"/>
  <c r="K52" i="5"/>
  <c r="G7" i="5"/>
  <c r="G11" i="5" s="1"/>
  <c r="J7" i="5"/>
  <c r="C11" i="5"/>
  <c r="C11" i="4"/>
  <c r="K9" i="4"/>
  <c r="Q9" i="4" s="1"/>
  <c r="G9" i="4"/>
  <c r="G43" i="4"/>
  <c r="K52" i="4"/>
  <c r="K7" i="4"/>
  <c r="N7" i="4"/>
  <c r="J11" i="4"/>
  <c r="F8" i="4"/>
  <c r="K8" i="4" s="1"/>
  <c r="Q8" i="4" s="1"/>
  <c r="G7" i="4"/>
  <c r="E52" i="4"/>
  <c r="G9" i="3"/>
  <c r="G43" i="3"/>
  <c r="K52" i="3"/>
  <c r="F11" i="3"/>
  <c r="C11" i="3"/>
  <c r="G7" i="3"/>
  <c r="J7" i="3"/>
  <c r="G11" i="31" l="1"/>
  <c r="G11" i="29"/>
  <c r="K9" i="26"/>
  <c r="Q9" i="26" s="1"/>
  <c r="K9" i="22"/>
  <c r="Q9" i="22" s="1"/>
  <c r="K8" i="15"/>
  <c r="Q8" i="15" s="1"/>
  <c r="P11" i="13"/>
  <c r="P13" i="13" s="1"/>
  <c r="J11" i="11"/>
  <c r="K9" i="11"/>
  <c r="Q9" i="11" s="1"/>
  <c r="P11" i="32"/>
  <c r="P13" i="32" s="1"/>
  <c r="P27" i="32" s="1"/>
  <c r="K43" i="32" s="1"/>
  <c r="N11" i="32"/>
  <c r="O13" i="32" s="1"/>
  <c r="K7" i="32"/>
  <c r="K11" i="32" s="1"/>
  <c r="J11" i="32"/>
  <c r="N7" i="31"/>
  <c r="J11" i="31"/>
  <c r="K7" i="31"/>
  <c r="K8" i="31"/>
  <c r="Q8" i="31" s="1"/>
  <c r="P27" i="29"/>
  <c r="K43" i="29" s="1"/>
  <c r="F11" i="29"/>
  <c r="K11" i="29"/>
  <c r="Q7" i="29"/>
  <c r="G11" i="28"/>
  <c r="F11" i="28"/>
  <c r="K11" i="28"/>
  <c r="Q7" i="28"/>
  <c r="N11" i="28"/>
  <c r="O13" i="28" s="1"/>
  <c r="P7" i="28"/>
  <c r="P11" i="28" s="1"/>
  <c r="P13" i="28" s="1"/>
  <c r="P27" i="28" s="1"/>
  <c r="K43" i="28" s="1"/>
  <c r="N7" i="27"/>
  <c r="J11" i="27"/>
  <c r="K7" i="27"/>
  <c r="N7" i="26"/>
  <c r="J11" i="26"/>
  <c r="K7" i="26"/>
  <c r="G11" i="25"/>
  <c r="N7" i="25"/>
  <c r="J11" i="25"/>
  <c r="K7" i="25"/>
  <c r="F11" i="24"/>
  <c r="N7" i="24"/>
  <c r="J11" i="24"/>
  <c r="K11" i="24"/>
  <c r="Q7" i="24"/>
  <c r="N7" i="23"/>
  <c r="J11" i="23"/>
  <c r="K7" i="23"/>
  <c r="N7" i="22"/>
  <c r="J11" i="22"/>
  <c r="K11" i="22"/>
  <c r="Q7" i="22"/>
  <c r="G11" i="21"/>
  <c r="N7" i="21"/>
  <c r="J11" i="21"/>
  <c r="K7" i="21"/>
  <c r="F11" i="21"/>
  <c r="G11" i="20"/>
  <c r="N7" i="20"/>
  <c r="J11" i="20"/>
  <c r="F11" i="20"/>
  <c r="K7" i="20"/>
  <c r="N11" i="19"/>
  <c r="O13" i="19" s="1"/>
  <c r="P11" i="19"/>
  <c r="P13" i="19" s="1"/>
  <c r="P27" i="19" s="1"/>
  <c r="K43" i="19" s="1"/>
  <c r="Q7" i="18"/>
  <c r="N7" i="18"/>
  <c r="J11" i="18"/>
  <c r="K11" i="17"/>
  <c r="Q7" i="17"/>
  <c r="P7" i="17"/>
  <c r="P11" i="17" s="1"/>
  <c r="P13" i="17" s="1"/>
  <c r="P27" i="17" s="1"/>
  <c r="K43" i="17" s="1"/>
  <c r="N11" i="17"/>
  <c r="O13" i="17" s="1"/>
  <c r="N7" i="16"/>
  <c r="J11" i="16"/>
  <c r="G11" i="16"/>
  <c r="K7" i="16"/>
  <c r="P11" i="15"/>
  <c r="P13" i="15" s="1"/>
  <c r="P27" i="15" s="1"/>
  <c r="K43" i="15" s="1"/>
  <c r="J11" i="15"/>
  <c r="K7" i="15"/>
  <c r="Q7" i="15" s="1"/>
  <c r="N11" i="15"/>
  <c r="O13" i="15" s="1"/>
  <c r="F11" i="15"/>
  <c r="F11" i="14"/>
  <c r="J11" i="14"/>
  <c r="N7" i="14"/>
  <c r="G11" i="14"/>
  <c r="K7" i="14"/>
  <c r="K11" i="13"/>
  <c r="Q7" i="13"/>
  <c r="P27" i="13"/>
  <c r="K43" i="13" s="1"/>
  <c r="N7" i="12"/>
  <c r="J11" i="12"/>
  <c r="K7" i="12"/>
  <c r="Q7" i="11"/>
  <c r="K11" i="11"/>
  <c r="N11" i="11"/>
  <c r="O13" i="11" s="1"/>
  <c r="P7" i="11"/>
  <c r="P11" i="11" s="1"/>
  <c r="P13" i="11" s="1"/>
  <c r="P27" i="11" s="1"/>
  <c r="K43" i="11" s="1"/>
  <c r="K10" i="10"/>
  <c r="Q10" i="10" s="1"/>
  <c r="N7" i="10"/>
  <c r="J11" i="10"/>
  <c r="K7" i="10"/>
  <c r="F11" i="10"/>
  <c r="N7" i="9"/>
  <c r="J11" i="9"/>
  <c r="G11" i="9"/>
  <c r="F11" i="9"/>
  <c r="K7" i="9"/>
  <c r="G11" i="8"/>
  <c r="N7" i="8"/>
  <c r="J11" i="8"/>
  <c r="F11" i="8"/>
  <c r="K7" i="8"/>
  <c r="F11" i="7"/>
  <c r="N7" i="7"/>
  <c r="J11" i="7"/>
  <c r="K7" i="7"/>
  <c r="N7" i="6"/>
  <c r="J11" i="6"/>
  <c r="K7" i="6"/>
  <c r="N7" i="5"/>
  <c r="J11" i="5"/>
  <c r="K7" i="5"/>
  <c r="G11" i="4"/>
  <c r="P7" i="4"/>
  <c r="P11" i="4" s="1"/>
  <c r="P13" i="4" s="1"/>
  <c r="P27" i="4" s="1"/>
  <c r="K43" i="4" s="1"/>
  <c r="N11" i="4"/>
  <c r="O13" i="4" s="1"/>
  <c r="K11" i="4"/>
  <c r="Q7" i="4"/>
  <c r="F11" i="4"/>
  <c r="G11" i="3"/>
  <c r="N7" i="3"/>
  <c r="J11" i="3"/>
  <c r="K7" i="3"/>
  <c r="K11" i="15" l="1"/>
  <c r="Q7" i="32"/>
  <c r="Q7" i="31"/>
  <c r="K11" i="31"/>
  <c r="P7" i="31"/>
  <c r="P11" i="31" s="1"/>
  <c r="P13" i="31" s="1"/>
  <c r="P27" i="31" s="1"/>
  <c r="K43" i="31" s="1"/>
  <c r="N11" i="31"/>
  <c r="O13" i="31" s="1"/>
  <c r="K11" i="27"/>
  <c r="Q7" i="27"/>
  <c r="N11" i="27"/>
  <c r="O13" i="27" s="1"/>
  <c r="P7" i="27"/>
  <c r="P11" i="27" s="1"/>
  <c r="P13" i="27" s="1"/>
  <c r="P27" i="27" s="1"/>
  <c r="K43" i="27" s="1"/>
  <c r="K11" i="26"/>
  <c r="Q7" i="26"/>
  <c r="N11" i="26"/>
  <c r="O13" i="26" s="1"/>
  <c r="P7" i="26"/>
  <c r="P11" i="26" s="1"/>
  <c r="P13" i="26" s="1"/>
  <c r="P27" i="26" s="1"/>
  <c r="K43" i="26" s="1"/>
  <c r="K11" i="25"/>
  <c r="Q7" i="25"/>
  <c r="N11" i="25"/>
  <c r="O13" i="25" s="1"/>
  <c r="P7" i="25"/>
  <c r="P11" i="25" s="1"/>
  <c r="P13" i="25" s="1"/>
  <c r="P27" i="25" s="1"/>
  <c r="K43" i="25" s="1"/>
  <c r="N11" i="24"/>
  <c r="O13" i="24" s="1"/>
  <c r="P7" i="24"/>
  <c r="P11" i="24" s="1"/>
  <c r="P13" i="24" s="1"/>
  <c r="P27" i="24" s="1"/>
  <c r="K43" i="24" s="1"/>
  <c r="K11" i="23"/>
  <c r="Q7" i="23"/>
  <c r="N11" i="23"/>
  <c r="O13" i="23" s="1"/>
  <c r="P7" i="23"/>
  <c r="P11" i="23" s="1"/>
  <c r="P13" i="23" s="1"/>
  <c r="P27" i="23" s="1"/>
  <c r="K43" i="23" s="1"/>
  <c r="P7" i="22"/>
  <c r="P11" i="22" s="1"/>
  <c r="P13" i="22" s="1"/>
  <c r="P27" i="22" s="1"/>
  <c r="K43" i="22" s="1"/>
  <c r="N11" i="22"/>
  <c r="O13" i="22" s="1"/>
  <c r="K11" i="21"/>
  <c r="Q7" i="21"/>
  <c r="N11" i="21"/>
  <c r="O13" i="21" s="1"/>
  <c r="P7" i="21"/>
  <c r="P11" i="21" s="1"/>
  <c r="P13" i="21" s="1"/>
  <c r="P27" i="21" s="1"/>
  <c r="K43" i="21" s="1"/>
  <c r="N11" i="20"/>
  <c r="O13" i="20" s="1"/>
  <c r="P7" i="20"/>
  <c r="P11" i="20" s="1"/>
  <c r="P13" i="20" s="1"/>
  <c r="P27" i="20" s="1"/>
  <c r="K43" i="20" s="1"/>
  <c r="Q7" i="20"/>
  <c r="K11" i="20"/>
  <c r="N11" i="18"/>
  <c r="O13" i="18" s="1"/>
  <c r="P7" i="18"/>
  <c r="P11" i="18" s="1"/>
  <c r="P13" i="18" s="1"/>
  <c r="P27" i="18" s="1"/>
  <c r="K43" i="18" s="1"/>
  <c r="K11" i="18"/>
  <c r="K11" i="16"/>
  <c r="Q7" i="16"/>
  <c r="P7" i="16"/>
  <c r="P11" i="16" s="1"/>
  <c r="P13" i="16" s="1"/>
  <c r="P27" i="16" s="1"/>
  <c r="K43" i="16" s="1"/>
  <c r="N11" i="16"/>
  <c r="O13" i="16" s="1"/>
  <c r="N11" i="14"/>
  <c r="O13" i="14" s="1"/>
  <c r="P7" i="14"/>
  <c r="P11" i="14" s="1"/>
  <c r="P13" i="14" s="1"/>
  <c r="P27" i="14" s="1"/>
  <c r="K43" i="14" s="1"/>
  <c r="Q7" i="14"/>
  <c r="K11" i="14"/>
  <c r="K11" i="12"/>
  <c r="Q7" i="12"/>
  <c r="N11" i="12"/>
  <c r="O13" i="12" s="1"/>
  <c r="P7" i="12"/>
  <c r="P11" i="12" s="1"/>
  <c r="P13" i="12" s="1"/>
  <c r="P27" i="12" s="1"/>
  <c r="K43" i="12" s="1"/>
  <c r="K11" i="10"/>
  <c r="Q7" i="10"/>
  <c r="N11" i="10"/>
  <c r="O13" i="10" s="1"/>
  <c r="P7" i="10"/>
  <c r="P11" i="10" s="1"/>
  <c r="P13" i="10" s="1"/>
  <c r="P27" i="10" s="1"/>
  <c r="K43" i="10" s="1"/>
  <c r="K11" i="9"/>
  <c r="Q7" i="9"/>
  <c r="N11" i="9"/>
  <c r="O13" i="9" s="1"/>
  <c r="P7" i="9"/>
  <c r="P11" i="9" s="1"/>
  <c r="P13" i="9" s="1"/>
  <c r="P27" i="9" s="1"/>
  <c r="K43" i="9" s="1"/>
  <c r="Q7" i="8"/>
  <c r="K11" i="8"/>
  <c r="N11" i="8"/>
  <c r="O13" i="8" s="1"/>
  <c r="P7" i="8"/>
  <c r="P11" i="8" s="1"/>
  <c r="P13" i="8" s="1"/>
  <c r="P27" i="8" s="1"/>
  <c r="K43" i="8" s="1"/>
  <c r="Q7" i="7"/>
  <c r="K11" i="7"/>
  <c r="N11" i="7"/>
  <c r="O13" i="7" s="1"/>
  <c r="P7" i="7"/>
  <c r="P11" i="7" s="1"/>
  <c r="P13" i="7" s="1"/>
  <c r="P27" i="7" s="1"/>
  <c r="K43" i="7" s="1"/>
  <c r="K11" i="6"/>
  <c r="Q7" i="6"/>
  <c r="N11" i="6"/>
  <c r="O13" i="6" s="1"/>
  <c r="P7" i="6"/>
  <c r="P11" i="6" s="1"/>
  <c r="P13" i="6" s="1"/>
  <c r="P27" i="6" s="1"/>
  <c r="K43" i="6" s="1"/>
  <c r="Q7" i="5"/>
  <c r="K11" i="5"/>
  <c r="N11" i="5"/>
  <c r="O13" i="5" s="1"/>
  <c r="P7" i="5"/>
  <c r="P11" i="5" s="1"/>
  <c r="P13" i="5" s="1"/>
  <c r="P27" i="5" s="1"/>
  <c r="K43" i="5" s="1"/>
  <c r="K11" i="3"/>
  <c r="Q7" i="3"/>
  <c r="N11" i="3"/>
  <c r="O13" i="3" s="1"/>
  <c r="P7" i="3"/>
  <c r="P11" i="3" s="1"/>
  <c r="P13" i="3" s="1"/>
  <c r="P27" i="3" s="1"/>
  <c r="K43" i="3" s="1"/>
  <c r="G52" i="2" l="1"/>
  <c r="E51" i="2"/>
  <c r="J10" i="2" s="1"/>
  <c r="N10" i="2" s="1"/>
  <c r="E50" i="2"/>
  <c r="E49" i="2"/>
  <c r="J9" i="2" s="1"/>
  <c r="N9" i="2" s="1"/>
  <c r="P9" i="2" s="1"/>
  <c r="E48" i="2"/>
  <c r="J8" i="2" s="1"/>
  <c r="N8" i="2" s="1"/>
  <c r="E47" i="2"/>
  <c r="N43" i="2"/>
  <c r="F43" i="2"/>
  <c r="P16" i="2" s="1"/>
  <c r="E43" i="2"/>
  <c r="P15" i="2" s="1"/>
  <c r="K42" i="2"/>
  <c r="P41" i="2"/>
  <c r="P43" i="2" s="1"/>
  <c r="K37" i="2"/>
  <c r="G37" i="2"/>
  <c r="E36" i="2"/>
  <c r="E35" i="2"/>
  <c r="E34" i="2"/>
  <c r="E33" i="2"/>
  <c r="K32" i="2"/>
  <c r="E32" i="2"/>
  <c r="E31" i="2"/>
  <c r="E30" i="2"/>
  <c r="G29" i="2"/>
  <c r="E29" i="2"/>
  <c r="K27" i="2"/>
  <c r="K21" i="2"/>
  <c r="M11" i="2"/>
  <c r="L11" i="2"/>
  <c r="O10" i="2"/>
  <c r="C10" i="2"/>
  <c r="F10" i="2" s="1"/>
  <c r="O9" i="2"/>
  <c r="C9" i="2"/>
  <c r="F9" i="2" s="1"/>
  <c r="O8" i="2"/>
  <c r="G8" i="2"/>
  <c r="C8" i="2"/>
  <c r="F8" i="2" s="1"/>
  <c r="K8" i="2" s="1"/>
  <c r="Q8" i="2" s="1"/>
  <c r="O7" i="2"/>
  <c r="C7" i="2"/>
  <c r="F7" i="2" s="1"/>
  <c r="O3" i="2"/>
  <c r="G52" i="1"/>
  <c r="E51" i="1"/>
  <c r="J10" i="1" s="1"/>
  <c r="N10" i="1" s="1"/>
  <c r="P10" i="1" s="1"/>
  <c r="E50" i="1"/>
  <c r="E49" i="1"/>
  <c r="G9" i="1" s="1"/>
  <c r="E48" i="1"/>
  <c r="J8" i="1" s="1"/>
  <c r="N8" i="1" s="1"/>
  <c r="E47" i="1"/>
  <c r="G7" i="1" s="1"/>
  <c r="N43" i="1"/>
  <c r="F43" i="1"/>
  <c r="P16" i="1" s="1"/>
  <c r="E43" i="1"/>
  <c r="P15" i="1" s="1"/>
  <c r="K42" i="1"/>
  <c r="P41" i="1"/>
  <c r="P43" i="1" s="1"/>
  <c r="K37" i="1"/>
  <c r="G37" i="1"/>
  <c r="E36" i="1"/>
  <c r="E35" i="1"/>
  <c r="E34" i="1"/>
  <c r="E33" i="1"/>
  <c r="K32" i="1"/>
  <c r="E32" i="1"/>
  <c r="E31" i="1"/>
  <c r="E30" i="1"/>
  <c r="G29" i="1"/>
  <c r="E29" i="1"/>
  <c r="K27" i="1"/>
  <c r="K21" i="1"/>
  <c r="M11" i="1"/>
  <c r="L11" i="1"/>
  <c r="C10" i="1"/>
  <c r="F10" i="1" s="1"/>
  <c r="J9" i="1"/>
  <c r="N9" i="1" s="1"/>
  <c r="P9" i="1" s="1"/>
  <c r="C9" i="1"/>
  <c r="F9" i="1" s="1"/>
  <c r="O8" i="1"/>
  <c r="C8" i="1"/>
  <c r="O7" i="1"/>
  <c r="C7" i="1"/>
  <c r="F7" i="1" s="1"/>
  <c r="O3" i="1"/>
  <c r="E37" i="2" l="1"/>
  <c r="P10" i="2"/>
  <c r="P8" i="2"/>
  <c r="J7" i="1"/>
  <c r="N7" i="1" s="1"/>
  <c r="N11" i="1" s="1"/>
  <c r="O13" i="1" s="1"/>
  <c r="E37" i="1"/>
  <c r="P8" i="1"/>
  <c r="G10" i="2"/>
  <c r="K10" i="2"/>
  <c r="Q10" i="2" s="1"/>
  <c r="E52" i="2"/>
  <c r="K10" i="1"/>
  <c r="Q10" i="1" s="1"/>
  <c r="K9" i="2"/>
  <c r="Q9" i="2" s="1"/>
  <c r="G9" i="2"/>
  <c r="G43" i="2"/>
  <c r="K52" i="2"/>
  <c r="F11" i="2"/>
  <c r="G7" i="2"/>
  <c r="J7" i="2"/>
  <c r="C11" i="2"/>
  <c r="K9" i="1"/>
  <c r="Q9" i="1" s="1"/>
  <c r="G8" i="1"/>
  <c r="E52" i="1"/>
  <c r="K52" i="1"/>
  <c r="C11" i="1"/>
  <c r="P7" i="1"/>
  <c r="G43" i="1"/>
  <c r="F8" i="1"/>
  <c r="K8" i="1" s="1"/>
  <c r="Q8" i="1" s="1"/>
  <c r="G10" i="1"/>
  <c r="G11" i="2" l="1"/>
  <c r="P11" i="1"/>
  <c r="P13" i="1" s="1"/>
  <c r="P27" i="1" s="1"/>
  <c r="K43" i="1" s="1"/>
  <c r="J11" i="1"/>
  <c r="K7" i="1"/>
  <c r="G11" i="1"/>
  <c r="N7" i="2"/>
  <c r="J11" i="2"/>
  <c r="K7" i="2"/>
  <c r="K11" i="1"/>
  <c r="Q7" i="1"/>
  <c r="F11" i="1"/>
  <c r="K11" i="2" l="1"/>
  <c r="Q7" i="2"/>
  <c r="N11" i="2"/>
  <c r="O13" i="2" s="1"/>
  <c r="P7" i="2"/>
  <c r="P11" i="2" s="1"/>
  <c r="P13" i="2" s="1"/>
  <c r="P27" i="2" s="1"/>
  <c r="K43" i="2" s="1"/>
</calcChain>
</file>

<file path=xl/comments1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2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3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4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5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6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7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8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9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10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11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12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13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14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15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16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17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18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19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20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21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22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23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24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25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26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27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28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29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30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comments31.xml><?xml version="1.0" encoding="utf-8"?>
<comments xmlns="http://schemas.openxmlformats.org/spreadsheetml/2006/main">
  <authors>
    <author>CASMA</author>
  </authors>
  <commentList>
    <comment ref="M21" authorId="0" shapeId="0">
      <text>
        <r>
          <rPr>
            <sz val="9"/>
            <color indexed="81"/>
            <rFont val="Tahoma"/>
            <family val="2"/>
          </rPr>
          <t xml:space="preserve">
SOPORTE TECNICO</t>
        </r>
      </text>
    </comment>
  </commentList>
</comments>
</file>

<file path=xl/sharedStrings.xml><?xml version="1.0" encoding="utf-8"?>
<sst xmlns="http://schemas.openxmlformats.org/spreadsheetml/2006/main" count="4803" uniqueCount="144">
  <si>
    <t>E.E.S.S</t>
  </si>
  <si>
    <t>GASOLINAS DE AMERICA SAC</t>
  </si>
  <si>
    <t>CODIGO</t>
  </si>
  <si>
    <t>UBICACIÓN</t>
  </si>
  <si>
    <t xml:space="preserve">MANUEL UBALDE 1103 </t>
  </si>
  <si>
    <t>EL PORVENIR</t>
  </si>
  <si>
    <t>FECHA</t>
  </si>
  <si>
    <t>FEBRERO</t>
  </si>
  <si>
    <t>ELABORADO</t>
  </si>
  <si>
    <t>N°.</t>
  </si>
  <si>
    <t>TIPO COMB</t>
  </si>
  <si>
    <t>INVENT INICIAL</t>
  </si>
  <si>
    <t>INGRESO</t>
  </si>
  <si>
    <t>SALIDAS</t>
  </si>
  <si>
    <t>INVENT FINAL</t>
  </si>
  <si>
    <t>VARILLAJE</t>
  </si>
  <si>
    <t>VENTAS AL CONTADO</t>
  </si>
  <si>
    <t>COMPR.</t>
  </si>
  <si>
    <t>AJUSTE</t>
  </si>
  <si>
    <t>T.INGRESO</t>
  </si>
  <si>
    <t>T.VENTAS</t>
  </si>
  <si>
    <t>SERAFINADO</t>
  </si>
  <si>
    <t>T.SALIDA</t>
  </si>
  <si>
    <t>INICIAL</t>
  </si>
  <si>
    <t>FINAL</t>
  </si>
  <si>
    <t>CANT GLNS</t>
  </si>
  <si>
    <t>P.VENTA</t>
  </si>
  <si>
    <t>VENTA SOLES</t>
  </si>
  <si>
    <t>GLP</t>
  </si>
  <si>
    <t>LEANDRO</t>
  </si>
  <si>
    <t>G-P</t>
  </si>
  <si>
    <t>G-R</t>
  </si>
  <si>
    <t>G-84</t>
  </si>
  <si>
    <t>DB5</t>
  </si>
  <si>
    <t>TOTAL</t>
  </si>
  <si>
    <t>CLIENTE</t>
  </si>
  <si>
    <t>TIPO VTA</t>
  </si>
  <si>
    <t>COMB</t>
  </si>
  <si>
    <t>CANT</t>
  </si>
  <si>
    <t>PRECIO</t>
  </si>
  <si>
    <t>S/.</t>
  </si>
  <si>
    <t>DOC.Nª</t>
  </si>
  <si>
    <t>DOCUMENTOS</t>
  </si>
  <si>
    <t>DESDE</t>
  </si>
  <si>
    <t>HASTA</t>
  </si>
  <si>
    <t>GLNS</t>
  </si>
  <si>
    <t>SOLES</t>
  </si>
  <si>
    <t>FACTURAS</t>
  </si>
  <si>
    <t xml:space="preserve"> </t>
  </si>
  <si>
    <t>TOTAL VENTA</t>
  </si>
  <si>
    <t>BOLETAS</t>
  </si>
  <si>
    <t>CREDITOS</t>
  </si>
  <si>
    <t xml:space="preserve">TARJETAS LIQUIDOS </t>
  </si>
  <si>
    <t>tarjetas glp</t>
  </si>
  <si>
    <t>UGEL</t>
  </si>
  <si>
    <t>calibracio glp devolucion</t>
  </si>
  <si>
    <t>Saldo actual</t>
  </si>
  <si>
    <t>serafinado devolucion a tanque liq</t>
  </si>
  <si>
    <t>Consumo</t>
  </si>
  <si>
    <t>SORTEO</t>
  </si>
  <si>
    <t xml:space="preserve">deposito </t>
  </si>
  <si>
    <t>C&amp;M VISOR</t>
  </si>
  <si>
    <t>gasto soporte tecnico obras</t>
  </si>
  <si>
    <t>INDRA CYM</t>
  </si>
  <si>
    <t>MOBILIDAD PIR PORTA VALOR</t>
  </si>
  <si>
    <t>grupo electrogeno</t>
  </si>
  <si>
    <t>Consumo GAS</t>
  </si>
  <si>
    <t>prueva de tecnico con devolución</t>
  </si>
  <si>
    <t>Consumo LIQ.</t>
  </si>
  <si>
    <t>dev prueva de glp</t>
  </si>
  <si>
    <t xml:space="preserve">Deposito </t>
  </si>
  <si>
    <t>TOTAL A DEPOSITAR</t>
  </si>
  <si>
    <t>INFORMACION DE RECEPCION DE COMBUSTIBLES</t>
  </si>
  <si>
    <t>TOTAL CREDITO GASOLINAS</t>
  </si>
  <si>
    <t>CANTIDAD</t>
  </si>
  <si>
    <t>N°FACTURA</t>
  </si>
  <si>
    <t>PLACA</t>
  </si>
  <si>
    <t>PROVEEDOR</t>
  </si>
  <si>
    <t>CREDITO</t>
  </si>
  <si>
    <t>VALERIO</t>
  </si>
  <si>
    <t>LUICHO</t>
  </si>
  <si>
    <t>J LUICHO</t>
  </si>
  <si>
    <t>DB-5</t>
  </si>
  <si>
    <t>esteBAN DC</t>
  </si>
  <si>
    <t>}Mm. *</t>
  </si>
  <si>
    <t>GLP KG</t>
  </si>
  <si>
    <t>ALCALA</t>
  </si>
  <si>
    <t>GLP GLN</t>
  </si>
  <si>
    <t>punto gas</t>
  </si>
  <si>
    <t>.</t>
  </si>
  <si>
    <t xml:space="preserve">Deposito  </t>
  </si>
  <si>
    <t>ESTEBAN DC</t>
  </si>
  <si>
    <t>TOTAL CREDITO D2</t>
  </si>
  <si>
    <t>V CONDORI</t>
  </si>
  <si>
    <t>SCOTIABANK</t>
  </si>
  <si>
    <t>J VILCHERREZ</t>
  </si>
  <si>
    <t>710-8985982</t>
  </si>
  <si>
    <t>TARJETAS</t>
  </si>
  <si>
    <t>LIQUIDOS</t>
  </si>
  <si>
    <t>710-8985966</t>
  </si>
  <si>
    <t>TARJETAS NIUBIZ</t>
  </si>
  <si>
    <t>DEPOSITO GLP</t>
  </si>
  <si>
    <t>Consumo  DB5</t>
  </si>
  <si>
    <t>TARJETAS IZIPAY</t>
  </si>
  <si>
    <t xml:space="preserve">DEPOSITO </t>
  </si>
  <si>
    <t>DEPOSITO</t>
  </si>
  <si>
    <t>DEPO LIQ</t>
  </si>
  <si>
    <t>TOTAL PADEL</t>
  </si>
  <si>
    <t>PRODUCTO</t>
  </si>
  <si>
    <t>GALONES</t>
  </si>
  <si>
    <t>G-95</t>
  </si>
  <si>
    <t>G-90</t>
  </si>
  <si>
    <t>010-11984</t>
  </si>
  <si>
    <t>VEI-970</t>
  </si>
  <si>
    <t>017-5180</t>
  </si>
  <si>
    <t>A4D-979</t>
  </si>
  <si>
    <t>010-12023</t>
  </si>
  <si>
    <t>010-12021</t>
  </si>
  <si>
    <t>JESTEBAN</t>
  </si>
  <si>
    <t>017-5188</t>
  </si>
  <si>
    <t>ECHEVARRIA</t>
  </si>
  <si>
    <t>010-1204</t>
  </si>
  <si>
    <t>032-3912</t>
  </si>
  <si>
    <t>alcala</t>
  </si>
  <si>
    <t>010-12081</t>
  </si>
  <si>
    <t>017-5203</t>
  </si>
  <si>
    <t>016-62132</t>
  </si>
  <si>
    <t>032-3923</t>
  </si>
  <si>
    <t>017-5212</t>
  </si>
  <si>
    <t>010-12123</t>
  </si>
  <si>
    <t>010-12122</t>
  </si>
  <si>
    <t>032-3937</t>
  </si>
  <si>
    <t>dev prueva de DB5</t>
  </si>
  <si>
    <t>016-62448</t>
  </si>
  <si>
    <t>017-5220</t>
  </si>
  <si>
    <t>010-12148</t>
  </si>
  <si>
    <t>MARZO</t>
  </si>
  <si>
    <t>032-3949</t>
  </si>
  <si>
    <t>010-12167</t>
  </si>
  <si>
    <t>017-5234</t>
  </si>
  <si>
    <t>ajuste</t>
  </si>
  <si>
    <t>PRUEBA SURTIDOR</t>
  </si>
  <si>
    <t>PREMIUM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</si>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</sst>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-* #,##0.00_-;\-* #,##0.00_-;_-* &quot;-&quot;??_-;_-@_-"/>
    <numFmt numFmtId="164" formatCode="_-&quot;S/&quot;\ * #,##0.00_-;\-&quot;S/&quot;\ * #,##0.00_-;_-&quot;S/&quot;\ * &quot;-&quot;??_-;_-@_-"/>
    <numFmt numFmtId="165" formatCode="_ * #,##0.00_ ;_ * \-#,##0.00_ ;_ * &quot;-&quot;??_ ;_ @_ "/>
    <numFmt numFmtId="166" formatCode="_-* #,##0\ _€_-;\-* #,##0\ _€_-;_-* &quot;-&quot;??\ _€_-;_-@_-"/>
    <numFmt numFmtId="167" formatCode="_-* #,##0.00\ _€_-;\-* #,##0.00\ _€_-;_-* &quot;-&quot;??\ _€_-;_-@_-"/>
    <numFmt numFmtId="168" formatCode="#,##0.000"/>
    <numFmt numFmtId="169" formatCode="_-&quot;S/&quot;* #,##0.00_-;\-&quot;S/&quot;* #,##0.00_-;_-&quot;S/&quot;* &quot;-&quot;??_-;_-@_-"/>
    <numFmt numFmtId="170" formatCode="#,##0.00_ ;\-#,##0.00\ "/>
    <numFmt numFmtId="171" formatCode="dd/mm/yy;@"/>
    <numFmt numFmtId="172" formatCode="[$-C0A]d\-mmm;@"/>
    <numFmt numFmtId="173" formatCode="_-[$S/-280A]\ * #,##0.00_-;\-[$S/-280A]\ * #,##0.00_-;_-[$S/-280A]\ * &quot;-&quot;??_-;_-@_-"/>
    <numFmt numFmtId="174" formatCode="_-* #,##0.00\ _P_t_s_-;\-* #,##0.00\ _P_t_s_-;_-* &quot;-&quot;??\ _P_t_s_-;_-@_-"/>
    <numFmt numFmtId="175" formatCode="_ * #,##0.000_ ;_ * \-#,##0.000_ ;_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9"/>
      <color theme="0"/>
      <name val="Arial"/>
      <family val="2"/>
    </font>
    <font>
      <b/>
      <sz val="12"/>
      <color rgb="FF002060"/>
      <name val="Arial"/>
      <family val="2"/>
    </font>
    <font>
      <sz val="10"/>
      <color indexed="8"/>
      <name val="Arial"/>
      <family val="2"/>
    </font>
    <font>
      <i/>
      <sz val="12"/>
      <color indexed="8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FF0000"/>
      <name val="Arial"/>
      <family val="2"/>
    </font>
    <font>
      <i/>
      <sz val="12"/>
      <name val="Arial"/>
      <family val="2"/>
    </font>
    <font>
      <i/>
      <sz val="12"/>
      <color rgb="FFFF000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8"/>
      <color rgb="FFFF0000"/>
      <name val="Arial"/>
      <family val="2"/>
    </font>
    <font>
      <b/>
      <sz val="8"/>
      <color rgb="FF00206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22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0" xfId="0" applyFont="1"/>
    <xf numFmtId="0" fontId="2" fillId="2" borderId="8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16" fontId="2" fillId="2" borderId="11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vertical="center"/>
    </xf>
    <xf numFmtId="0" fontId="2" fillId="2" borderId="12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166" fontId="5" fillId="2" borderId="13" xfId="1" applyNumberFormat="1" applyFont="1" applyFill="1" applyBorder="1" applyAlignment="1">
      <alignment wrapText="1"/>
    </xf>
    <xf numFmtId="0" fontId="2" fillId="2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" fontId="2" fillId="4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43" fontId="2" fillId="0" borderId="2" xfId="1" applyFont="1" applyFill="1" applyBorder="1" applyAlignment="1">
      <alignment horizontal="center" vertical="center"/>
    </xf>
    <xf numFmtId="167" fontId="2" fillId="0" borderId="2" xfId="0" applyNumberFormat="1" applyFont="1" applyBorder="1" applyAlignment="1">
      <alignment vertical="center"/>
    </xf>
    <xf numFmtId="168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center" vertical="center"/>
    </xf>
    <xf numFmtId="4" fontId="2" fillId="0" borderId="27" xfId="0" applyNumberFormat="1" applyFont="1" applyBorder="1" applyAlignment="1">
      <alignment horizontal="right" vertical="center"/>
    </xf>
    <xf numFmtId="164" fontId="2" fillId="4" borderId="10" xfId="2" applyFont="1" applyFill="1" applyBorder="1" applyAlignment="1">
      <alignment horizontal="center"/>
    </xf>
    <xf numFmtId="164" fontId="2" fillId="4" borderId="5" xfId="2" applyFont="1" applyFill="1" applyBorder="1" applyAlignment="1">
      <alignment horizontal="center" vertical="center"/>
    </xf>
    <xf numFmtId="43" fontId="6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4" fontId="2" fillId="4" borderId="7" xfId="0" applyNumberFormat="1" applyFont="1" applyFill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3" fontId="2" fillId="0" borderId="7" xfId="1" applyFont="1" applyFill="1" applyBorder="1" applyAlignment="1">
      <alignment vertical="center" wrapText="1"/>
    </xf>
    <xf numFmtId="167" fontId="2" fillId="0" borderId="7" xfId="0" applyNumberFormat="1" applyFont="1" applyBorder="1" applyAlignment="1">
      <alignment vertical="center"/>
    </xf>
    <xf numFmtId="168" fontId="2" fillId="0" borderId="7" xfId="0" applyNumberFormat="1" applyFont="1" applyBorder="1" applyAlignment="1">
      <alignment horizontal="right" vertical="center"/>
    </xf>
    <xf numFmtId="4" fontId="2" fillId="0" borderId="7" xfId="0" applyNumberFormat="1" applyFont="1" applyBorder="1" applyAlignment="1">
      <alignment horizontal="right" vertical="center"/>
    </xf>
    <xf numFmtId="4" fontId="2" fillId="0" borderId="28" xfId="0" applyNumberFormat="1" applyFont="1" applyBorder="1" applyAlignment="1">
      <alignment horizontal="right" vertical="center"/>
    </xf>
    <xf numFmtId="164" fontId="2" fillId="0" borderId="11" xfId="2" applyFont="1" applyFill="1" applyBorder="1" applyAlignment="1">
      <alignment horizontal="center" vertical="center"/>
    </xf>
    <xf numFmtId="4" fontId="2" fillId="4" borderId="30" xfId="0" applyNumberFormat="1" applyFont="1" applyFill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49" fontId="2" fillId="0" borderId="30" xfId="0" applyNumberFormat="1" applyFont="1" applyBorder="1" applyAlignment="1">
      <alignment horizontal="center" vertical="center" wrapText="1"/>
    </xf>
    <xf numFmtId="43" fontId="2" fillId="0" borderId="30" xfId="1" applyFont="1" applyFill="1" applyBorder="1" applyAlignment="1">
      <alignment vertical="center" wrapText="1"/>
    </xf>
    <xf numFmtId="167" fontId="2" fillId="0" borderId="30" xfId="0" applyNumberFormat="1" applyFont="1" applyBorder="1" applyAlignment="1">
      <alignment vertical="center"/>
    </xf>
    <xf numFmtId="168" fontId="2" fillId="0" borderId="30" xfId="0" applyNumberFormat="1" applyFont="1" applyBorder="1" applyAlignment="1">
      <alignment horizontal="right" vertical="center"/>
    </xf>
    <xf numFmtId="4" fontId="2" fillId="4" borderId="30" xfId="0" applyNumberFormat="1" applyFont="1" applyFill="1" applyBorder="1" applyAlignment="1">
      <alignment horizontal="right" vertical="center"/>
    </xf>
    <xf numFmtId="4" fontId="2" fillId="0" borderId="31" xfId="0" applyNumberFormat="1" applyFont="1" applyBorder="1" applyAlignment="1">
      <alignment horizontal="right" vertical="center"/>
    </xf>
    <xf numFmtId="164" fontId="2" fillId="0" borderId="32" xfId="2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4" fontId="2" fillId="5" borderId="23" xfId="0" applyNumberFormat="1" applyFont="1" applyFill="1" applyBorder="1" applyAlignment="1">
      <alignment horizontal="center" vertical="center"/>
    </xf>
    <xf numFmtId="2" fontId="2" fillId="5" borderId="34" xfId="0" applyNumberFormat="1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right" vertical="center"/>
    </xf>
    <xf numFmtId="170" fontId="2" fillId="5" borderId="34" xfId="1" applyNumberFormat="1" applyFont="1" applyFill="1" applyBorder="1" applyAlignment="1">
      <alignment vertical="center"/>
    </xf>
    <xf numFmtId="167" fontId="2" fillId="5" borderId="23" xfId="1" applyNumberFormat="1" applyFont="1" applyFill="1" applyBorder="1" applyAlignment="1">
      <alignment vertical="center"/>
    </xf>
    <xf numFmtId="4" fontId="2" fillId="5" borderId="34" xfId="0" applyNumberFormat="1" applyFont="1" applyFill="1" applyBorder="1" applyAlignment="1">
      <alignment horizontal="right" vertical="center"/>
    </xf>
    <xf numFmtId="4" fontId="2" fillId="5" borderId="23" xfId="0" applyNumberFormat="1" applyFont="1" applyFill="1" applyBorder="1" applyAlignment="1">
      <alignment horizontal="right" vertical="center"/>
    </xf>
    <xf numFmtId="166" fontId="7" fillId="5" borderId="35" xfId="0" applyNumberFormat="1" applyFont="1" applyFill="1" applyBorder="1" applyAlignment="1">
      <alignment horizontal="center" vertical="center"/>
    </xf>
    <xf numFmtId="4" fontId="2" fillId="5" borderId="36" xfId="0" applyNumberFormat="1" applyFont="1" applyFill="1" applyBorder="1" applyAlignment="1">
      <alignment horizontal="right" vertical="center"/>
    </xf>
    <xf numFmtId="167" fontId="2" fillId="5" borderId="19" xfId="0" applyNumberFormat="1" applyFont="1" applyFill="1" applyBorder="1" applyAlignment="1">
      <alignment horizontal="center" vertical="center"/>
    </xf>
    <xf numFmtId="164" fontId="2" fillId="5" borderId="23" xfId="2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40" xfId="0" applyFont="1" applyBorder="1"/>
    <xf numFmtId="0" fontId="2" fillId="0" borderId="14" xfId="0" applyFont="1" applyBorder="1" applyAlignment="1">
      <alignment horizontal="center"/>
    </xf>
    <xf numFmtId="4" fontId="2" fillId="0" borderId="41" xfId="0" applyNumberFormat="1" applyFont="1" applyBorder="1"/>
    <xf numFmtId="4" fontId="2" fillId="4" borderId="7" xfId="0" applyNumberFormat="1" applyFont="1" applyFill="1" applyBorder="1" applyAlignment="1">
      <alignment horizontal="center"/>
    </xf>
    <xf numFmtId="4" fontId="2" fillId="4" borderId="40" xfId="0" applyNumberFormat="1" applyFont="1" applyFill="1" applyBorder="1"/>
    <xf numFmtId="0" fontId="2" fillId="4" borderId="42" xfId="0" applyFont="1" applyFill="1" applyBorder="1" applyAlignment="1">
      <alignment horizontal="center"/>
    </xf>
    <xf numFmtId="0" fontId="2" fillId="0" borderId="41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vertical="center" wrapText="1"/>
    </xf>
    <xf numFmtId="164" fontId="2" fillId="0" borderId="39" xfId="2" applyFont="1" applyFill="1" applyBorder="1" applyAlignment="1">
      <alignment horizontal="center" vertical="center" wrapText="1"/>
    </xf>
    <xf numFmtId="0" fontId="2" fillId="0" borderId="44" xfId="0" applyFont="1" applyBorder="1"/>
    <xf numFmtId="0" fontId="2" fillId="0" borderId="45" xfId="0" applyFont="1" applyBorder="1" applyAlignment="1">
      <alignment horizontal="center"/>
    </xf>
    <xf numFmtId="4" fontId="2" fillId="0" borderId="10" xfId="0" applyNumberFormat="1" applyFont="1" applyBorder="1"/>
    <xf numFmtId="4" fontId="2" fillId="0" borderId="10" xfId="0" applyNumberFormat="1" applyFont="1" applyBorder="1" applyAlignment="1">
      <alignment horizontal="center" vertical="center" wrapText="1"/>
    </xf>
    <xf numFmtId="40" fontId="2" fillId="4" borderId="7" xfId="0" applyNumberFormat="1" applyFont="1" applyFill="1" applyBorder="1" applyAlignment="1">
      <alignment horizontal="right"/>
    </xf>
    <xf numFmtId="2" fontId="2" fillId="0" borderId="48" xfId="0" applyNumberFormat="1" applyFont="1" applyBorder="1"/>
    <xf numFmtId="164" fontId="2" fillId="0" borderId="47" xfId="2" applyFont="1" applyFill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left" vertical="center" wrapText="1"/>
    </xf>
    <xf numFmtId="0" fontId="3" fillId="0" borderId="44" xfId="0" quotePrefix="1" applyFont="1" applyBorder="1"/>
    <xf numFmtId="17" fontId="3" fillId="0" borderId="9" xfId="0" applyNumberFormat="1" applyFont="1" applyBorder="1"/>
    <xf numFmtId="2" fontId="8" fillId="0" borderId="48" xfId="0" applyNumberFormat="1" applyFont="1" applyBorder="1" applyAlignment="1">
      <alignment horizontal="right"/>
    </xf>
    <xf numFmtId="164" fontId="8" fillId="6" borderId="47" xfId="2" applyFont="1" applyFill="1" applyBorder="1" applyAlignment="1">
      <alignment horizontal="right"/>
    </xf>
    <xf numFmtId="171" fontId="9" fillId="0" borderId="8" xfId="0" applyNumberFormat="1" applyFont="1" applyBorder="1" applyAlignment="1" applyProtection="1">
      <alignment horizontal="center"/>
      <protection locked="0"/>
    </xf>
    <xf numFmtId="4" fontId="9" fillId="0" borderId="8" xfId="0" applyNumberFormat="1" applyFont="1" applyBorder="1" applyAlignment="1" applyProtection="1">
      <alignment horizontal="center"/>
      <protection locked="0"/>
    </xf>
    <xf numFmtId="164" fontId="2" fillId="0" borderId="47" xfId="2" applyFont="1" applyFill="1" applyBorder="1" applyAlignment="1">
      <alignment horizontal="right"/>
    </xf>
    <xf numFmtId="0" fontId="8" fillId="0" borderId="50" xfId="0" applyFont="1" applyBorder="1"/>
    <xf numFmtId="4" fontId="10" fillId="0" borderId="5" xfId="0" applyNumberFormat="1" applyFont="1" applyBorder="1" applyAlignment="1">
      <alignment horizontal="right"/>
    </xf>
    <xf numFmtId="0" fontId="2" fillId="0" borderId="10" xfId="0" applyFont="1" applyBorder="1"/>
    <xf numFmtId="4" fontId="8" fillId="0" borderId="11" xfId="0" applyNumberFormat="1" applyFont="1" applyBorder="1" applyAlignment="1">
      <alignment horizontal="right"/>
    </xf>
    <xf numFmtId="0" fontId="12" fillId="6" borderId="9" xfId="0" applyFont="1" applyFill="1" applyBorder="1"/>
    <xf numFmtId="4" fontId="13" fillId="6" borderId="11" xfId="0" applyNumberFormat="1" applyFont="1" applyFill="1" applyBorder="1"/>
    <xf numFmtId="2" fontId="2" fillId="0" borderId="48" xfId="0" applyNumberFormat="1" applyFont="1" applyBorder="1" applyAlignment="1">
      <alignment horizontal="right"/>
    </xf>
    <xf numFmtId="164" fontId="2" fillId="6" borderId="47" xfId="2" applyFont="1" applyFill="1" applyBorder="1" applyAlignment="1">
      <alignment horizontal="right"/>
    </xf>
    <xf numFmtId="0" fontId="7" fillId="5" borderId="34" xfId="0" applyFont="1" applyFill="1" applyBorder="1"/>
    <xf numFmtId="4" fontId="12" fillId="5" borderId="17" xfId="0" applyNumberFormat="1" applyFont="1" applyFill="1" applyBorder="1"/>
    <xf numFmtId="4" fontId="14" fillId="0" borderId="8" xfId="0" applyNumberFormat="1" applyFont="1" applyBorder="1" applyAlignment="1" applyProtection="1">
      <alignment horizontal="center"/>
      <protection locked="0"/>
    </xf>
    <xf numFmtId="0" fontId="2" fillId="4" borderId="45" xfId="0" applyFont="1" applyFill="1" applyBorder="1" applyAlignment="1">
      <alignment horizontal="center"/>
    </xf>
    <xf numFmtId="4" fontId="10" fillId="0" borderId="40" xfId="0" applyNumberFormat="1" applyFont="1" applyBorder="1" applyAlignment="1">
      <alignment horizontal="right"/>
    </xf>
    <xf numFmtId="164" fontId="8" fillId="0" borderId="47" xfId="2" applyFont="1" applyFill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4" fontId="8" fillId="0" borderId="8" xfId="0" applyNumberFormat="1" applyFont="1" applyBorder="1" applyAlignment="1">
      <alignment horizontal="right"/>
    </xf>
    <xf numFmtId="17" fontId="2" fillId="0" borderId="46" xfId="0" applyNumberFormat="1" applyFont="1" applyBorder="1"/>
    <xf numFmtId="0" fontId="2" fillId="0" borderId="0" xfId="0" applyFont="1" applyAlignment="1">
      <alignment vertical="center" wrapText="1"/>
    </xf>
    <xf numFmtId="2" fontId="2" fillId="0" borderId="0" xfId="1" applyNumberFormat="1" applyFont="1" applyFill="1" applyBorder="1" applyAlignment="1">
      <alignment horizontal="right"/>
    </xf>
    <xf numFmtId="4" fontId="12" fillId="5" borderId="33" xfId="0" applyNumberFormat="1" applyFont="1" applyFill="1" applyBorder="1"/>
    <xf numFmtId="4" fontId="8" fillId="0" borderId="44" xfId="0" applyNumberFormat="1" applyFont="1" applyBorder="1" applyAlignment="1">
      <alignment horizontal="right"/>
    </xf>
    <xf numFmtId="0" fontId="2" fillId="0" borderId="47" xfId="0" applyFont="1" applyBorder="1" applyAlignment="1">
      <alignment vertical="center" wrapText="1"/>
    </xf>
    <xf numFmtId="43" fontId="2" fillId="0" borderId="48" xfId="1" applyFont="1" applyFill="1" applyBorder="1" applyAlignment="1">
      <alignment horizontal="center"/>
    </xf>
    <xf numFmtId="0" fontId="2" fillId="0" borderId="51" xfId="0" applyFont="1" applyBorder="1"/>
    <xf numFmtId="4" fontId="8" fillId="0" borderId="32" xfId="0" applyNumberFormat="1" applyFont="1" applyBorder="1" applyAlignment="1">
      <alignment horizontal="right"/>
    </xf>
    <xf numFmtId="172" fontId="8" fillId="0" borderId="8" xfId="0" applyNumberFormat="1" applyFont="1" applyBorder="1" applyAlignment="1">
      <alignment horizontal="center"/>
    </xf>
    <xf numFmtId="17" fontId="2" fillId="0" borderId="52" xfId="0" applyNumberFormat="1" applyFont="1" applyBorder="1"/>
    <xf numFmtId="0" fontId="2" fillId="0" borderId="49" xfId="0" applyFont="1" applyBorder="1" applyAlignment="1">
      <alignment vertical="center" wrapText="1"/>
    </xf>
    <xf numFmtId="43" fontId="2" fillId="0" borderId="35" xfId="1" applyFont="1" applyFill="1" applyBorder="1" applyAlignment="1">
      <alignment horizontal="center"/>
    </xf>
    <xf numFmtId="164" fontId="8" fillId="0" borderId="49" xfId="2" applyFont="1" applyFill="1" applyBorder="1" applyAlignment="1">
      <alignment horizontal="right"/>
    </xf>
    <xf numFmtId="167" fontId="2" fillId="2" borderId="25" xfId="0" applyNumberFormat="1" applyFont="1" applyFill="1" applyBorder="1" applyAlignment="1">
      <alignment horizontal="center" vertical="center" wrapText="1"/>
    </xf>
    <xf numFmtId="164" fontId="2" fillId="2" borderId="47" xfId="2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/>
    </xf>
    <xf numFmtId="4" fontId="2" fillId="3" borderId="15" xfId="0" applyNumberFormat="1" applyFont="1" applyFill="1" applyBorder="1"/>
    <xf numFmtId="168" fontId="2" fillId="3" borderId="38" xfId="0" applyNumberFormat="1" applyFont="1" applyFill="1" applyBorder="1" applyAlignment="1">
      <alignment horizontal="center"/>
    </xf>
    <xf numFmtId="4" fontId="2" fillId="3" borderId="34" xfId="0" applyNumberFormat="1" applyFont="1" applyFill="1" applyBorder="1"/>
    <xf numFmtId="4" fontId="10" fillId="0" borderId="54" xfId="0" applyNumberFormat="1" applyFont="1" applyBorder="1" applyAlignment="1">
      <alignment horizontal="right"/>
    </xf>
    <xf numFmtId="0" fontId="2" fillId="4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4" fontId="2" fillId="0" borderId="57" xfId="0" applyNumberFormat="1" applyFont="1" applyBorder="1"/>
    <xf numFmtId="4" fontId="2" fillId="0" borderId="14" xfId="0" applyNumberFormat="1" applyFont="1" applyBorder="1" applyAlignment="1">
      <alignment horizontal="center"/>
    </xf>
    <xf numFmtId="0" fontId="2" fillId="0" borderId="7" xfId="0" applyFont="1" applyBorder="1" applyAlignment="1">
      <alignment vertical="center" wrapText="1"/>
    </xf>
    <xf numFmtId="4" fontId="2" fillId="0" borderId="45" xfId="0" applyNumberFormat="1" applyFont="1" applyBorder="1" applyAlignment="1">
      <alignment horizontal="center"/>
    </xf>
    <xf numFmtId="0" fontId="2" fillId="0" borderId="58" xfId="0" applyFont="1" applyBorder="1"/>
    <xf numFmtId="4" fontId="8" fillId="0" borderId="59" xfId="0" applyNumberFormat="1" applyFont="1" applyBorder="1" applyAlignment="1">
      <alignment horizontal="right"/>
    </xf>
    <xf numFmtId="16" fontId="8" fillId="4" borderId="7" xfId="0" applyNumberFormat="1" applyFont="1" applyFill="1" applyBorder="1" applyAlignment="1">
      <alignment horizontal="center"/>
    </xf>
    <xf numFmtId="4" fontId="2" fillId="0" borderId="9" xfId="0" applyNumberFormat="1" applyFont="1" applyBorder="1"/>
    <xf numFmtId="17" fontId="8" fillId="0" borderId="7" xfId="0" applyNumberFormat="1" applyFont="1" applyBorder="1" applyAlignment="1">
      <alignment vertical="center" wrapText="1"/>
    </xf>
    <xf numFmtId="0" fontId="8" fillId="4" borderId="45" xfId="0" applyFont="1" applyFill="1" applyBorder="1" applyAlignment="1">
      <alignment horizontal="center"/>
    </xf>
    <xf numFmtId="17" fontId="2" fillId="0" borderId="7" xfId="0" applyNumberFormat="1" applyFont="1" applyBorder="1" applyAlignment="1">
      <alignment vertical="center" wrapText="1"/>
    </xf>
    <xf numFmtId="0" fontId="8" fillId="0" borderId="45" xfId="0" applyFont="1" applyBorder="1" applyAlignment="1">
      <alignment horizontal="center"/>
    </xf>
    <xf numFmtId="4" fontId="8" fillId="0" borderId="9" xfId="0" applyNumberFormat="1" applyFont="1" applyBorder="1"/>
    <xf numFmtId="0" fontId="11" fillId="0" borderId="7" xfId="0" applyFont="1" applyBorder="1" applyAlignment="1">
      <alignment vertical="center" wrapText="1"/>
    </xf>
    <xf numFmtId="169" fontId="11" fillId="0" borderId="0" xfId="0" applyNumberFormat="1" applyFont="1"/>
    <xf numFmtId="0" fontId="16" fillId="0" borderId="7" xfId="0" applyFont="1" applyBorder="1" applyAlignment="1">
      <alignment vertical="center" wrapText="1"/>
    </xf>
    <xf numFmtId="0" fontId="2" fillId="0" borderId="59" xfId="0" applyFont="1" applyBorder="1"/>
    <xf numFmtId="0" fontId="2" fillId="0" borderId="20" xfId="0" applyFont="1" applyBorder="1" applyAlignment="1">
      <alignment horizontal="center"/>
    </xf>
    <xf numFmtId="4" fontId="2" fillId="0" borderId="61" xfId="0" applyNumberFormat="1" applyFont="1" applyBorder="1"/>
    <xf numFmtId="4" fontId="2" fillId="0" borderId="20" xfId="0" applyNumberFormat="1" applyFont="1" applyBorder="1" applyAlignment="1">
      <alignment horizontal="center"/>
    </xf>
    <xf numFmtId="0" fontId="8" fillId="0" borderId="58" xfId="0" applyFont="1" applyBorder="1"/>
    <xf numFmtId="16" fontId="2" fillId="4" borderId="7" xfId="0" applyNumberFormat="1" applyFont="1" applyFill="1" applyBorder="1" applyAlignment="1">
      <alignment horizontal="center"/>
    </xf>
    <xf numFmtId="168" fontId="2" fillId="3" borderId="36" xfId="0" applyNumberFormat="1" applyFont="1" applyFill="1" applyBorder="1" applyAlignment="1">
      <alignment horizontal="center"/>
    </xf>
    <xf numFmtId="4" fontId="2" fillId="3" borderId="19" xfId="0" applyNumberFormat="1" applyFont="1" applyFill="1" applyBorder="1"/>
    <xf numFmtId="0" fontId="7" fillId="5" borderId="50" xfId="0" applyFont="1" applyFill="1" applyBorder="1"/>
    <xf numFmtId="4" fontId="12" fillId="5" borderId="43" xfId="0" applyNumberFormat="1" applyFont="1" applyFill="1" applyBorder="1"/>
    <xf numFmtId="0" fontId="2" fillId="4" borderId="13" xfId="0" applyFont="1" applyFill="1" applyBorder="1" applyAlignment="1">
      <alignment horizontal="center"/>
    </xf>
    <xf numFmtId="4" fontId="2" fillId="5" borderId="16" xfId="0" applyNumberFormat="1" applyFont="1" applyFill="1" applyBorder="1"/>
    <xf numFmtId="168" fontId="2" fillId="5" borderId="16" xfId="0" applyNumberFormat="1" applyFont="1" applyFill="1" applyBorder="1" applyAlignment="1">
      <alignment horizontal="center"/>
    </xf>
    <xf numFmtId="4" fontId="2" fillId="5" borderId="19" xfId="0" applyNumberFormat="1" applyFont="1" applyFill="1" applyBorder="1"/>
    <xf numFmtId="0" fontId="2" fillId="0" borderId="58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4" fontId="2" fillId="5" borderId="36" xfId="0" applyNumberFormat="1" applyFont="1" applyFill="1" applyBorder="1"/>
    <xf numFmtId="168" fontId="2" fillId="5" borderId="36" xfId="0" applyNumberFormat="1" applyFont="1" applyFill="1" applyBorder="1" applyAlignment="1">
      <alignment horizontal="center"/>
    </xf>
    <xf numFmtId="0" fontId="11" fillId="0" borderId="45" xfId="0" applyFont="1" applyBorder="1" applyAlignment="1">
      <alignment horizontal="center"/>
    </xf>
    <xf numFmtId="0" fontId="17" fillId="0" borderId="41" xfId="0" applyFont="1" applyBorder="1"/>
    <xf numFmtId="0" fontId="18" fillId="3" borderId="46" xfId="0" applyFont="1" applyFill="1" applyBorder="1" applyAlignment="1">
      <alignment horizontal="center" vertical="center" wrapText="1"/>
    </xf>
    <xf numFmtId="4" fontId="2" fillId="2" borderId="53" xfId="0" applyNumberFormat="1" applyFont="1" applyFill="1" applyBorder="1" applyAlignment="1">
      <alignment horizontal="center"/>
    </xf>
    <xf numFmtId="4" fontId="2" fillId="2" borderId="10" xfId="0" applyNumberFormat="1" applyFont="1" applyFill="1" applyBorder="1" applyAlignment="1">
      <alignment horizontal="center" vertical="center"/>
    </xf>
    <xf numFmtId="4" fontId="2" fillId="2" borderId="44" xfId="0" applyNumberFormat="1" applyFont="1" applyFill="1" applyBorder="1"/>
    <xf numFmtId="0" fontId="17" fillId="0" borderId="6" xfId="0" applyFont="1" applyBorder="1"/>
    <xf numFmtId="0" fontId="18" fillId="3" borderId="63" xfId="0" applyFont="1" applyFill="1" applyBorder="1" applyAlignment="1">
      <alignment horizontal="center" vertical="center" wrapText="1"/>
    </xf>
    <xf numFmtId="0" fontId="10" fillId="0" borderId="1" xfId="0" applyFont="1" applyBorder="1"/>
    <xf numFmtId="4" fontId="10" fillId="0" borderId="2" xfId="0" applyNumberFormat="1" applyFont="1" applyBorder="1" applyAlignment="1">
      <alignment horizontal="right"/>
    </xf>
    <xf numFmtId="0" fontId="8" fillId="0" borderId="43" xfId="0" applyFont="1" applyBorder="1"/>
    <xf numFmtId="43" fontId="2" fillId="4" borderId="11" xfId="1" applyFont="1" applyFill="1" applyBorder="1" applyAlignment="1">
      <alignment horizontal="center"/>
    </xf>
    <xf numFmtId="164" fontId="2" fillId="0" borderId="14" xfId="2" applyFont="1" applyFill="1" applyBorder="1"/>
    <xf numFmtId="173" fontId="2" fillId="0" borderId="10" xfId="2" applyNumberFormat="1" applyFont="1" applyBorder="1" applyAlignment="1">
      <alignment horizontal="center"/>
    </xf>
    <xf numFmtId="4" fontId="2" fillId="0" borderId="44" xfId="0" applyNumberFormat="1" applyFont="1" applyBorder="1"/>
    <xf numFmtId="164" fontId="2" fillId="4" borderId="48" xfId="2" applyFont="1" applyFill="1" applyBorder="1" applyAlignment="1">
      <alignment horizontal="center"/>
    </xf>
    <xf numFmtId="4" fontId="8" fillId="0" borderId="7" xfId="0" applyNumberFormat="1" applyFont="1" applyBorder="1" applyAlignment="1">
      <alignment horizontal="right"/>
    </xf>
    <xf numFmtId="174" fontId="8" fillId="4" borderId="11" xfId="0" applyNumberFormat="1" applyFont="1" applyFill="1" applyBorder="1" applyAlignment="1">
      <alignment horizontal="center"/>
    </xf>
    <xf numFmtId="164" fontId="2" fillId="0" borderId="20" xfId="2" applyFont="1" applyFill="1" applyBorder="1"/>
    <xf numFmtId="173" fontId="2" fillId="0" borderId="10" xfId="0" applyNumberFormat="1" applyFont="1" applyBorder="1" applyAlignment="1">
      <alignment horizontal="center"/>
    </xf>
    <xf numFmtId="164" fontId="12" fillId="5" borderId="23" xfId="2" applyFont="1" applyFill="1" applyBorder="1"/>
    <xf numFmtId="0" fontId="2" fillId="4" borderId="48" xfId="0" applyFont="1" applyFill="1" applyBorder="1" applyAlignment="1">
      <alignment horizontal="center"/>
    </xf>
    <xf numFmtId="0" fontId="2" fillId="0" borderId="60" xfId="0" applyFont="1" applyBorder="1"/>
    <xf numFmtId="43" fontId="8" fillId="4" borderId="11" xfId="1" applyFont="1" applyFill="1" applyBorder="1" applyAlignment="1">
      <alignment horizontal="center"/>
    </xf>
    <xf numFmtId="164" fontId="2" fillId="0" borderId="66" xfId="2" applyFont="1" applyFill="1" applyBorder="1"/>
    <xf numFmtId="4" fontId="12" fillId="5" borderId="25" xfId="0" applyNumberFormat="1" applyFont="1" applyFill="1" applyBorder="1"/>
    <xf numFmtId="0" fontId="7" fillId="5" borderId="33" xfId="0" applyFont="1" applyFill="1" applyBorder="1"/>
    <xf numFmtId="4" fontId="12" fillId="5" borderId="23" xfId="0" applyNumberFormat="1" applyFont="1" applyFill="1" applyBorder="1" applyAlignment="1">
      <alignment horizontal="center"/>
    </xf>
    <xf numFmtId="0" fontId="2" fillId="0" borderId="36" xfId="0" applyFont="1" applyBorder="1" applyAlignment="1">
      <alignment horizontal="center"/>
    </xf>
    <xf numFmtId="2" fontId="2" fillId="0" borderId="22" xfId="1" applyNumberFormat="1" applyFont="1" applyFill="1" applyBorder="1" applyAlignment="1">
      <alignment horizontal="right"/>
    </xf>
    <xf numFmtId="0" fontId="2" fillId="0" borderId="30" xfId="0" applyFont="1" applyBorder="1"/>
    <xf numFmtId="2" fontId="2" fillId="0" borderId="68" xfId="1" applyNumberFormat="1" applyFont="1" applyFill="1" applyBorder="1" applyAlignment="1">
      <alignment horizontal="right"/>
    </xf>
    <xf numFmtId="0" fontId="2" fillId="0" borderId="20" xfId="0" applyFont="1" applyBorder="1"/>
    <xf numFmtId="0" fontId="2" fillId="4" borderId="35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4" fontId="2" fillId="0" borderId="26" xfId="0" applyNumberFormat="1" applyFont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43" fontId="2" fillId="4" borderId="32" xfId="1" applyFont="1" applyFill="1" applyBorder="1" applyAlignment="1">
      <alignment horizontal="center"/>
    </xf>
    <xf numFmtId="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3" xfId="0" applyFont="1" applyBorder="1"/>
    <xf numFmtId="43" fontId="2" fillId="0" borderId="1" xfId="1" applyFont="1" applyFill="1" applyBorder="1" applyAlignment="1">
      <alignment horizontal="center"/>
    </xf>
    <xf numFmtId="43" fontId="10" fillId="0" borderId="5" xfId="1" applyFont="1" applyBorder="1"/>
    <xf numFmtId="0" fontId="2" fillId="0" borderId="8" xfId="0" applyFont="1" applyBorder="1"/>
    <xf numFmtId="43" fontId="2" fillId="0" borderId="6" xfId="1" applyFont="1" applyFill="1" applyBorder="1" applyAlignment="1">
      <alignment horizontal="center"/>
    </xf>
    <xf numFmtId="164" fontId="2" fillId="0" borderId="10" xfId="2" applyFont="1" applyFill="1" applyBorder="1" applyAlignment="1">
      <alignment horizontal="center" vertical="center"/>
    </xf>
    <xf numFmtId="4" fontId="7" fillId="0" borderId="11" xfId="0" applyNumberFormat="1" applyFont="1" applyBorder="1"/>
    <xf numFmtId="0" fontId="2" fillId="0" borderId="12" xfId="0" applyFont="1" applyBorder="1"/>
    <xf numFmtId="43" fontId="2" fillId="0" borderId="29" xfId="1" applyFont="1" applyFill="1" applyBorder="1" applyAlignment="1">
      <alignment horizontal="center"/>
    </xf>
    <xf numFmtId="164" fontId="2" fillId="0" borderId="51" xfId="2" applyFont="1" applyFill="1" applyBorder="1" applyAlignment="1">
      <alignment horizontal="center" vertical="center"/>
    </xf>
    <xf numFmtId="4" fontId="7" fillId="0" borderId="32" xfId="0" applyNumberFormat="1" applyFont="1" applyBorder="1"/>
    <xf numFmtId="0" fontId="2" fillId="0" borderId="67" xfId="0" applyFont="1" applyBorder="1"/>
    <xf numFmtId="43" fontId="7" fillId="0" borderId="66" xfId="1" applyFont="1" applyFill="1" applyBorder="1" applyAlignment="1">
      <alignment horizontal="center"/>
    </xf>
    <xf numFmtId="165" fontId="2" fillId="0" borderId="35" xfId="0" applyNumberFormat="1" applyFont="1" applyBorder="1" applyAlignment="1">
      <alignment horizontal="left"/>
    </xf>
    <xf numFmtId="43" fontId="7" fillId="0" borderId="49" xfId="1" applyFont="1" applyFill="1" applyBorder="1" applyAlignment="1">
      <alignment horizontal="center"/>
    </xf>
    <xf numFmtId="165" fontId="2" fillId="0" borderId="0" xfId="0" applyNumberFormat="1" applyFont="1"/>
    <xf numFmtId="0" fontId="2" fillId="0" borderId="0" xfId="0" applyFont="1" applyAlignment="1">
      <alignment vertical="center"/>
    </xf>
    <xf numFmtId="166" fontId="5" fillId="2" borderId="13" xfId="1" applyNumberFormat="1" applyFont="1" applyFill="1" applyBorder="1" applyAlignment="1">
      <alignment vertical="center" wrapText="1"/>
    </xf>
    <xf numFmtId="164" fontId="2" fillId="4" borderId="10" xfId="2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4" fontId="2" fillId="0" borderId="41" xfId="0" applyNumberFormat="1" applyFont="1" applyBorder="1" applyAlignment="1">
      <alignment vertical="center"/>
    </xf>
    <xf numFmtId="4" fontId="2" fillId="4" borderId="40" xfId="0" applyNumberFormat="1" applyFont="1" applyFill="1" applyBorder="1" applyAlignment="1">
      <alignment vertical="center"/>
    </xf>
    <xf numFmtId="0" fontId="2" fillId="4" borderId="42" xfId="0" applyFont="1" applyFill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0" fontId="2" fillId="0" borderId="45" xfId="0" applyFont="1" applyBorder="1" applyAlignment="1">
      <alignment horizontal="center" vertical="center"/>
    </xf>
    <xf numFmtId="4" fontId="2" fillId="0" borderId="10" xfId="0" applyNumberFormat="1" applyFont="1" applyBorder="1" applyAlignment="1">
      <alignment vertical="center"/>
    </xf>
    <xf numFmtId="40" fontId="2" fillId="4" borderId="7" xfId="0" applyNumberFormat="1" applyFont="1" applyFill="1" applyBorder="1" applyAlignment="1">
      <alignment horizontal="right" vertical="center"/>
    </xf>
    <xf numFmtId="2" fontId="2" fillId="0" borderId="48" xfId="0" applyNumberFormat="1" applyFont="1" applyBorder="1" applyAlignment="1">
      <alignment vertical="center"/>
    </xf>
    <xf numFmtId="0" fontId="3" fillId="0" borderId="44" xfId="0" quotePrefix="1" applyFont="1" applyBorder="1" applyAlignment="1">
      <alignment vertical="center"/>
    </xf>
    <xf numFmtId="17" fontId="3" fillId="0" borderId="9" xfId="0" applyNumberFormat="1" applyFont="1" applyBorder="1" applyAlignment="1">
      <alignment vertical="center"/>
    </xf>
    <xf numFmtId="2" fontId="8" fillId="0" borderId="48" xfId="0" applyNumberFormat="1" applyFont="1" applyBorder="1" applyAlignment="1">
      <alignment horizontal="right" vertical="center"/>
    </xf>
    <xf numFmtId="164" fontId="8" fillId="6" borderId="47" xfId="2" applyFont="1" applyFill="1" applyBorder="1" applyAlignment="1">
      <alignment horizontal="right" vertical="center"/>
    </xf>
    <xf numFmtId="171" fontId="9" fillId="0" borderId="8" xfId="0" applyNumberFormat="1" applyFont="1" applyBorder="1" applyAlignment="1" applyProtection="1">
      <alignment horizontal="center" vertical="center"/>
      <protection locked="0"/>
    </xf>
    <xf numFmtId="4" fontId="9" fillId="0" borderId="8" xfId="0" applyNumberFormat="1" applyFont="1" applyBorder="1" applyAlignment="1" applyProtection="1">
      <alignment horizontal="center" vertical="center"/>
      <protection locked="0"/>
    </xf>
    <xf numFmtId="164" fontId="2" fillId="0" borderId="47" xfId="2" applyFont="1" applyFill="1" applyBorder="1" applyAlignment="1">
      <alignment horizontal="right" vertical="center"/>
    </xf>
    <xf numFmtId="0" fontId="8" fillId="0" borderId="50" xfId="0" applyFont="1" applyBorder="1" applyAlignment="1">
      <alignment vertical="center"/>
    </xf>
    <xf numFmtId="4" fontId="10" fillId="0" borderId="5" xfId="0" applyNumberFormat="1" applyFont="1" applyBorder="1" applyAlignment="1">
      <alignment horizontal="right" vertical="center"/>
    </xf>
    <xf numFmtId="0" fontId="2" fillId="0" borderId="10" xfId="0" applyFont="1" applyBorder="1" applyAlignment="1">
      <alignment vertical="center"/>
    </xf>
    <xf numFmtId="4" fontId="8" fillId="0" borderId="11" xfId="0" applyNumberFormat="1" applyFont="1" applyBorder="1" applyAlignment="1">
      <alignment horizontal="right" vertical="center"/>
    </xf>
    <xf numFmtId="0" fontId="12" fillId="6" borderId="9" xfId="0" applyFont="1" applyFill="1" applyBorder="1" applyAlignment="1">
      <alignment vertical="center"/>
    </xf>
    <xf numFmtId="4" fontId="13" fillId="6" borderId="11" xfId="0" applyNumberFormat="1" applyFont="1" applyFill="1" applyBorder="1" applyAlignment="1">
      <alignment vertical="center"/>
    </xf>
    <xf numFmtId="2" fontId="2" fillId="0" borderId="48" xfId="0" applyNumberFormat="1" applyFont="1" applyBorder="1" applyAlignment="1">
      <alignment horizontal="right" vertical="center"/>
    </xf>
    <xf numFmtId="164" fontId="2" fillId="6" borderId="47" xfId="2" applyFont="1" applyFill="1" applyBorder="1" applyAlignment="1">
      <alignment horizontal="right" vertical="center"/>
    </xf>
    <xf numFmtId="0" fontId="7" fillId="5" borderId="34" xfId="0" applyFont="1" applyFill="1" applyBorder="1" applyAlignment="1">
      <alignment vertical="center"/>
    </xf>
    <xf numFmtId="4" fontId="12" fillId="5" borderId="17" xfId="0" applyNumberFormat="1" applyFont="1" applyFill="1" applyBorder="1" applyAlignment="1">
      <alignment vertical="center"/>
    </xf>
    <xf numFmtId="4" fontId="14" fillId="0" borderId="8" xfId="0" applyNumberFormat="1" applyFont="1" applyBorder="1" applyAlignment="1" applyProtection="1">
      <alignment horizontal="center" vertical="center"/>
      <protection locked="0"/>
    </xf>
    <xf numFmtId="0" fontId="2" fillId="4" borderId="45" xfId="0" applyFont="1" applyFill="1" applyBorder="1" applyAlignment="1">
      <alignment horizontal="center" vertical="center"/>
    </xf>
    <xf numFmtId="4" fontId="10" fillId="0" borderId="40" xfId="0" applyNumberFormat="1" applyFont="1" applyBorder="1" applyAlignment="1">
      <alignment horizontal="right" vertical="center"/>
    </xf>
    <xf numFmtId="164" fontId="8" fillId="0" borderId="47" xfId="2" applyFont="1" applyFill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4" fontId="8" fillId="0" borderId="8" xfId="0" applyNumberFormat="1" applyFont="1" applyBorder="1" applyAlignment="1">
      <alignment horizontal="right" vertical="center"/>
    </xf>
    <xf numFmtId="17" fontId="2" fillId="0" borderId="46" xfId="0" applyNumberFormat="1" applyFont="1" applyBorder="1" applyAlignment="1">
      <alignment vertical="center"/>
    </xf>
    <xf numFmtId="2" fontId="2" fillId="0" borderId="0" xfId="1" applyNumberFormat="1" applyFont="1" applyFill="1" applyBorder="1" applyAlignment="1">
      <alignment horizontal="right" vertical="center"/>
    </xf>
    <xf numFmtId="4" fontId="12" fillId="5" borderId="33" xfId="0" applyNumberFormat="1" applyFont="1" applyFill="1" applyBorder="1" applyAlignment="1">
      <alignment vertical="center"/>
    </xf>
    <xf numFmtId="4" fontId="8" fillId="0" borderId="44" xfId="0" applyNumberFormat="1" applyFont="1" applyBorder="1" applyAlignment="1">
      <alignment horizontal="right" vertical="center"/>
    </xf>
    <xf numFmtId="43" fontId="2" fillId="0" borderId="48" xfId="1" applyFont="1" applyFill="1" applyBorder="1" applyAlignment="1">
      <alignment horizontal="center" vertical="center"/>
    </xf>
    <xf numFmtId="0" fontId="2" fillId="0" borderId="51" xfId="0" applyFont="1" applyBorder="1" applyAlignment="1">
      <alignment vertical="center"/>
    </xf>
    <xf numFmtId="4" fontId="8" fillId="0" borderId="32" xfId="0" applyNumberFormat="1" applyFont="1" applyBorder="1" applyAlignment="1">
      <alignment horizontal="right" vertical="center"/>
    </xf>
    <xf numFmtId="172" fontId="8" fillId="0" borderId="8" xfId="0" applyNumberFormat="1" applyFont="1" applyBorder="1" applyAlignment="1">
      <alignment horizontal="center" vertical="center"/>
    </xf>
    <xf numFmtId="17" fontId="2" fillId="0" borderId="52" xfId="0" applyNumberFormat="1" applyFont="1" applyBorder="1" applyAlignment="1">
      <alignment vertical="center"/>
    </xf>
    <xf numFmtId="43" fontId="2" fillId="0" borderId="35" xfId="1" applyFont="1" applyFill="1" applyBorder="1" applyAlignment="1">
      <alignment horizontal="center" vertical="center"/>
    </xf>
    <xf numFmtId="164" fontId="8" fillId="0" borderId="49" xfId="2" applyFont="1" applyFill="1" applyBorder="1" applyAlignment="1">
      <alignment horizontal="right" vertical="center"/>
    </xf>
    <xf numFmtId="0" fontId="2" fillId="4" borderId="20" xfId="0" applyFont="1" applyFill="1" applyBorder="1" applyAlignment="1">
      <alignment horizontal="center" vertical="center"/>
    </xf>
    <xf numFmtId="4" fontId="2" fillId="3" borderId="15" xfId="0" applyNumberFormat="1" applyFont="1" applyFill="1" applyBorder="1" applyAlignment="1">
      <alignment vertical="center"/>
    </xf>
    <xf numFmtId="168" fontId="2" fillId="3" borderId="38" xfId="0" applyNumberFormat="1" applyFont="1" applyFill="1" applyBorder="1" applyAlignment="1">
      <alignment horizontal="center" vertical="center"/>
    </xf>
    <xf numFmtId="4" fontId="2" fillId="3" borderId="34" xfId="0" applyNumberFormat="1" applyFont="1" applyFill="1" applyBorder="1" applyAlignment="1">
      <alignment vertical="center"/>
    </xf>
    <xf numFmtId="4" fontId="10" fillId="0" borderId="54" xfId="0" applyNumberFormat="1" applyFont="1" applyBorder="1" applyAlignment="1">
      <alignment horizontal="right" vertical="center"/>
    </xf>
    <xf numFmtId="0" fontId="2" fillId="4" borderId="7" xfId="0" applyFont="1" applyFill="1" applyBorder="1" applyAlignment="1">
      <alignment horizontal="center" vertical="center"/>
    </xf>
    <xf numFmtId="4" fontId="2" fillId="0" borderId="57" xfId="0" applyNumberFormat="1" applyFont="1" applyBorder="1" applyAlignment="1">
      <alignment vertical="center"/>
    </xf>
    <xf numFmtId="4" fontId="2" fillId="0" borderId="1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0" fontId="2" fillId="0" borderId="58" xfId="0" applyFont="1" applyBorder="1" applyAlignment="1">
      <alignment vertical="center"/>
    </xf>
    <xf numFmtId="4" fontId="8" fillId="0" borderId="59" xfId="0" applyNumberFormat="1" applyFont="1" applyBorder="1" applyAlignment="1">
      <alignment horizontal="right" vertical="center"/>
    </xf>
    <xf numFmtId="16" fontId="8" fillId="4" borderId="7" xfId="0" applyNumberFormat="1" applyFont="1" applyFill="1" applyBorder="1" applyAlignment="1">
      <alignment horizontal="center" vertical="center"/>
    </xf>
    <xf numFmtId="4" fontId="2" fillId="0" borderId="9" xfId="0" applyNumberFormat="1" applyFont="1" applyBorder="1" applyAlignment="1">
      <alignment vertical="center"/>
    </xf>
    <xf numFmtId="0" fontId="8" fillId="4" borderId="45" xfId="0" applyFont="1" applyFill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4" fontId="8" fillId="0" borderId="9" xfId="0" applyNumberFormat="1" applyFont="1" applyBorder="1" applyAlignment="1">
      <alignment vertical="center"/>
    </xf>
    <xf numFmtId="169" fontId="11" fillId="0" borderId="0" xfId="0" applyNumberFormat="1" applyFont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4" fontId="2" fillId="0" borderId="61" xfId="0" applyNumberFormat="1" applyFont="1" applyBorder="1" applyAlignment="1">
      <alignment vertical="center"/>
    </xf>
    <xf numFmtId="4" fontId="2" fillId="0" borderId="20" xfId="0" applyNumberFormat="1" applyFont="1" applyBorder="1" applyAlignment="1">
      <alignment horizontal="center" vertical="center"/>
    </xf>
    <xf numFmtId="0" fontId="8" fillId="0" borderId="58" xfId="0" applyFont="1" applyBorder="1" applyAlignment="1">
      <alignment vertical="center"/>
    </xf>
    <xf numFmtId="16" fontId="2" fillId="4" borderId="7" xfId="0" applyNumberFormat="1" applyFont="1" applyFill="1" applyBorder="1" applyAlignment="1">
      <alignment horizontal="center" vertical="center"/>
    </xf>
    <xf numFmtId="168" fontId="2" fillId="3" borderId="36" xfId="0" applyNumberFormat="1" applyFont="1" applyFill="1" applyBorder="1" applyAlignment="1">
      <alignment horizontal="center" vertical="center"/>
    </xf>
    <xf numFmtId="4" fontId="2" fillId="3" borderId="19" xfId="0" applyNumberFormat="1" applyFont="1" applyFill="1" applyBorder="1" applyAlignment="1">
      <alignment vertical="center"/>
    </xf>
    <xf numFmtId="0" fontId="7" fillId="5" borderId="50" xfId="0" applyFont="1" applyFill="1" applyBorder="1" applyAlignment="1">
      <alignment vertical="center"/>
    </xf>
    <xf numFmtId="4" fontId="12" fillId="5" borderId="43" xfId="0" applyNumberFormat="1" applyFont="1" applyFill="1" applyBorder="1" applyAlignment="1">
      <alignment vertical="center"/>
    </xf>
    <xf numFmtId="0" fontId="2" fillId="4" borderId="13" xfId="0" applyFont="1" applyFill="1" applyBorder="1" applyAlignment="1">
      <alignment horizontal="center" vertical="center"/>
    </xf>
    <xf numFmtId="4" fontId="2" fillId="5" borderId="16" xfId="0" applyNumberFormat="1" applyFont="1" applyFill="1" applyBorder="1" applyAlignment="1">
      <alignment vertical="center"/>
    </xf>
    <xf numFmtId="168" fontId="2" fillId="5" borderId="16" xfId="0" applyNumberFormat="1" applyFont="1" applyFill="1" applyBorder="1" applyAlignment="1">
      <alignment horizontal="center" vertical="center"/>
    </xf>
    <xf numFmtId="4" fontId="2" fillId="5" borderId="19" xfId="0" applyNumberFormat="1" applyFont="1" applyFill="1" applyBorder="1" applyAlignment="1">
      <alignment vertical="center"/>
    </xf>
    <xf numFmtId="4" fontId="2" fillId="5" borderId="36" xfId="0" applyNumberFormat="1" applyFont="1" applyFill="1" applyBorder="1" applyAlignment="1">
      <alignment vertical="center"/>
    </xf>
    <xf numFmtId="168" fontId="2" fillId="5" borderId="36" xfId="0" applyNumberFormat="1" applyFont="1" applyFill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7" fillId="0" borderId="41" xfId="0" applyFont="1" applyBorder="1" applyAlignment="1">
      <alignment vertical="center"/>
    </xf>
    <xf numFmtId="4" fontId="2" fillId="2" borderId="53" xfId="0" applyNumberFormat="1" applyFont="1" applyFill="1" applyBorder="1" applyAlignment="1">
      <alignment horizontal="center" vertical="center"/>
    </xf>
    <xf numFmtId="4" fontId="2" fillId="2" borderId="44" xfId="0" applyNumberFormat="1" applyFont="1" applyFill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4" fontId="10" fillId="0" borderId="2" xfId="0" applyNumberFormat="1" applyFont="1" applyBorder="1" applyAlignment="1">
      <alignment horizontal="right" vertical="center"/>
    </xf>
    <xf numFmtId="0" fontId="8" fillId="0" borderId="43" xfId="0" applyFont="1" applyBorder="1" applyAlignment="1">
      <alignment vertical="center"/>
    </xf>
    <xf numFmtId="43" fontId="2" fillId="4" borderId="11" xfId="1" applyFont="1" applyFill="1" applyBorder="1" applyAlignment="1">
      <alignment horizontal="center" vertical="center"/>
    </xf>
    <xf numFmtId="164" fontId="2" fillId="0" borderId="14" xfId="2" applyFont="1" applyFill="1" applyBorder="1" applyAlignment="1">
      <alignment vertical="center"/>
    </xf>
    <xf numFmtId="173" fontId="2" fillId="0" borderId="10" xfId="2" applyNumberFormat="1" applyFont="1" applyBorder="1" applyAlignment="1">
      <alignment horizontal="center" vertical="center"/>
    </xf>
    <xf numFmtId="4" fontId="2" fillId="0" borderId="44" xfId="0" applyNumberFormat="1" applyFont="1" applyBorder="1" applyAlignment="1">
      <alignment vertical="center"/>
    </xf>
    <xf numFmtId="164" fontId="2" fillId="4" borderId="48" xfId="2" applyFont="1" applyFill="1" applyBorder="1" applyAlignment="1">
      <alignment horizontal="center" vertical="center"/>
    </xf>
    <xf numFmtId="4" fontId="8" fillId="0" borderId="7" xfId="0" applyNumberFormat="1" applyFont="1" applyBorder="1" applyAlignment="1">
      <alignment horizontal="right" vertical="center"/>
    </xf>
    <xf numFmtId="174" fontId="8" fillId="4" borderId="11" xfId="0" applyNumberFormat="1" applyFont="1" applyFill="1" applyBorder="1" applyAlignment="1">
      <alignment horizontal="center" vertical="center"/>
    </xf>
    <xf numFmtId="164" fontId="2" fillId="0" borderId="20" xfId="2" applyFont="1" applyFill="1" applyBorder="1" applyAlignment="1">
      <alignment vertical="center"/>
    </xf>
    <xf numFmtId="173" fontId="2" fillId="0" borderId="10" xfId="0" applyNumberFormat="1" applyFont="1" applyBorder="1" applyAlignment="1">
      <alignment horizontal="center" vertical="center"/>
    </xf>
    <xf numFmtId="164" fontId="12" fillId="5" borderId="23" xfId="2" applyFont="1" applyFill="1" applyBorder="1" applyAlignment="1">
      <alignment vertical="center"/>
    </xf>
    <xf numFmtId="0" fontId="2" fillId="4" borderId="48" xfId="0" applyFont="1" applyFill="1" applyBorder="1" applyAlignment="1">
      <alignment horizontal="center" vertical="center"/>
    </xf>
    <xf numFmtId="0" fontId="2" fillId="0" borderId="60" xfId="0" applyFont="1" applyBorder="1" applyAlignment="1">
      <alignment vertical="center"/>
    </xf>
    <xf numFmtId="43" fontId="8" fillId="4" borderId="11" xfId="1" applyFont="1" applyFill="1" applyBorder="1" applyAlignment="1">
      <alignment horizontal="center" vertical="center"/>
    </xf>
    <xf numFmtId="164" fontId="2" fillId="0" borderId="66" xfId="2" applyFont="1" applyFill="1" applyBorder="1" applyAlignment="1">
      <alignment vertical="center"/>
    </xf>
    <xf numFmtId="4" fontId="12" fillId="5" borderId="25" xfId="0" applyNumberFormat="1" applyFont="1" applyFill="1" applyBorder="1" applyAlignment="1">
      <alignment vertical="center"/>
    </xf>
    <xf numFmtId="0" fontId="7" fillId="5" borderId="33" xfId="0" applyFont="1" applyFill="1" applyBorder="1" applyAlignment="1">
      <alignment vertical="center"/>
    </xf>
    <xf numFmtId="4" fontId="12" fillId="5" borderId="23" xfId="0" applyNumberFormat="1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2" fontId="2" fillId="0" borderId="22" xfId="1" applyNumberFormat="1" applyFont="1" applyFill="1" applyBorder="1" applyAlignment="1">
      <alignment horizontal="right" vertical="center"/>
    </xf>
    <xf numFmtId="0" fontId="2" fillId="0" borderId="30" xfId="0" applyFont="1" applyBorder="1" applyAlignment="1">
      <alignment vertical="center"/>
    </xf>
    <xf numFmtId="2" fontId="2" fillId="0" borderId="68" xfId="1" applyNumberFormat="1" applyFont="1" applyFill="1" applyBorder="1" applyAlignment="1">
      <alignment horizontal="right" vertical="center"/>
    </xf>
    <xf numFmtId="0" fontId="2" fillId="0" borderId="20" xfId="0" applyFont="1" applyBorder="1" applyAlignment="1">
      <alignment vertical="center"/>
    </xf>
    <xf numFmtId="0" fontId="2" fillId="4" borderId="35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" fontId="2" fillId="0" borderId="26" xfId="0" applyNumberFormat="1" applyFont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43" fontId="2" fillId="4" borderId="32" xfId="1" applyFont="1" applyFill="1" applyBorder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2" fillId="0" borderId="3" xfId="0" applyFont="1" applyBorder="1" applyAlignment="1">
      <alignment vertical="center"/>
    </xf>
    <xf numFmtId="43" fontId="2" fillId="0" borderId="1" xfId="1" applyFont="1" applyFill="1" applyBorder="1" applyAlignment="1">
      <alignment horizontal="center" vertical="center"/>
    </xf>
    <xf numFmtId="43" fontId="10" fillId="0" borderId="5" xfId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3" fontId="2" fillId="0" borderId="6" xfId="1" applyFont="1" applyFill="1" applyBorder="1" applyAlignment="1">
      <alignment horizontal="center" vertical="center"/>
    </xf>
    <xf numFmtId="4" fontId="7" fillId="0" borderId="11" xfId="0" applyNumberFormat="1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43" fontId="2" fillId="0" borderId="29" xfId="1" applyFont="1" applyFill="1" applyBorder="1" applyAlignment="1">
      <alignment horizontal="center" vertical="center"/>
    </xf>
    <xf numFmtId="4" fontId="7" fillId="0" borderId="32" xfId="0" applyNumberFormat="1" applyFont="1" applyBorder="1" applyAlignment="1">
      <alignment vertical="center"/>
    </xf>
    <xf numFmtId="0" fontId="2" fillId="0" borderId="67" xfId="0" applyFont="1" applyBorder="1" applyAlignment="1">
      <alignment vertical="center"/>
    </xf>
    <xf numFmtId="43" fontId="7" fillId="0" borderId="66" xfId="1" applyFont="1" applyFill="1" applyBorder="1" applyAlignment="1">
      <alignment horizontal="center" vertical="center"/>
    </xf>
    <xf numFmtId="165" fontId="2" fillId="0" borderId="35" xfId="0" applyNumberFormat="1" applyFont="1" applyBorder="1" applyAlignment="1">
      <alignment horizontal="left" vertical="center"/>
    </xf>
    <xf numFmtId="43" fontId="7" fillId="0" borderId="49" xfId="1" applyFont="1" applyFill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2" fillId="2" borderId="69" xfId="0" applyFont="1" applyFill="1" applyBorder="1" applyAlignment="1">
      <alignment vertical="center"/>
    </xf>
    <xf numFmtId="0" fontId="2" fillId="2" borderId="57" xfId="0" applyFont="1" applyFill="1" applyBorder="1" applyAlignment="1">
      <alignment vertical="center"/>
    </xf>
    <xf numFmtId="0" fontId="2" fillId="2" borderId="70" xfId="0" applyFont="1" applyFill="1" applyBorder="1" applyAlignment="1">
      <alignment vertical="center"/>
    </xf>
    <xf numFmtId="0" fontId="2" fillId="2" borderId="71" xfId="0" applyFont="1" applyFill="1" applyBorder="1" applyAlignment="1">
      <alignment vertical="center"/>
    </xf>
    <xf numFmtId="0" fontId="2" fillId="2" borderId="72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70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166" fontId="5" fillId="2" borderId="71" xfId="1" applyNumberFormat="1" applyFont="1" applyFill="1" applyBorder="1" applyAlignment="1">
      <alignment vertical="center" wrapText="1"/>
    </xf>
    <xf numFmtId="0" fontId="2" fillId="2" borderId="73" xfId="0" applyFont="1" applyFill="1" applyBorder="1" applyAlignment="1">
      <alignment horizontal="center" vertical="center" wrapText="1"/>
    </xf>
    <xf numFmtId="4" fontId="2" fillId="4" borderId="57" xfId="0" applyNumberFormat="1" applyFont="1" applyFill="1" applyBorder="1" applyAlignment="1">
      <alignment vertical="center"/>
    </xf>
    <xf numFmtId="4" fontId="2" fillId="4" borderId="0" xfId="0" applyNumberFormat="1" applyFont="1" applyFill="1" applyBorder="1" applyAlignment="1">
      <alignment vertical="center"/>
    </xf>
    <xf numFmtId="4" fontId="2" fillId="3" borderId="0" xfId="0" applyNumberFormat="1" applyFont="1" applyFill="1" applyBorder="1" applyAlignment="1">
      <alignment vertical="center"/>
    </xf>
    <xf numFmtId="4" fontId="2" fillId="5" borderId="0" xfId="0" applyNumberFormat="1" applyFont="1" applyFill="1" applyBorder="1" applyAlignment="1">
      <alignment vertical="center"/>
    </xf>
    <xf numFmtId="4" fontId="2" fillId="2" borderId="9" xfId="0" applyNumberFormat="1" applyFont="1" applyFill="1" applyBorder="1" applyAlignment="1">
      <alignment vertical="center"/>
    </xf>
    <xf numFmtId="2" fontId="2" fillId="0" borderId="65" xfId="1" applyNumberFormat="1" applyFont="1" applyFill="1" applyBorder="1" applyAlignment="1">
      <alignment horizontal="right" vertical="center"/>
    </xf>
    <xf numFmtId="43" fontId="10" fillId="0" borderId="0" xfId="1" applyFont="1" applyBorder="1" applyAlignment="1">
      <alignment vertical="center"/>
    </xf>
    <xf numFmtId="4" fontId="7" fillId="0" borderId="0" xfId="0" applyNumberFormat="1" applyFont="1" applyBorder="1" applyAlignment="1">
      <alignment vertical="center"/>
    </xf>
    <xf numFmtId="43" fontId="7" fillId="0" borderId="0" xfId="1" applyFont="1" applyFill="1" applyBorder="1" applyAlignment="1">
      <alignment horizontal="center" vertical="center"/>
    </xf>
    <xf numFmtId="0" fontId="20" fillId="9" borderId="7" xfId="0" applyFont="1" applyFill="1" applyBorder="1" applyAlignment="1">
      <alignment horizontal="center" vertical="center" wrapText="1"/>
    </xf>
    <xf numFmtId="0" fontId="2" fillId="2" borderId="69" xfId="0" applyFont="1" applyFill="1" applyBorder="1"/>
    <xf numFmtId="0" fontId="2" fillId="2" borderId="57" xfId="0" applyFont="1" applyFill="1" applyBorder="1"/>
    <xf numFmtId="0" fontId="2" fillId="2" borderId="70" xfId="0" applyFont="1" applyFill="1" applyBorder="1"/>
    <xf numFmtId="0" fontId="2" fillId="2" borderId="71" xfId="0" applyFont="1" applyFill="1" applyBorder="1"/>
    <xf numFmtId="0" fontId="2" fillId="2" borderId="72" xfId="0" applyFont="1" applyFill="1" applyBorder="1"/>
    <xf numFmtId="166" fontId="5" fillId="2" borderId="71" xfId="1" applyNumberFormat="1" applyFont="1" applyFill="1" applyBorder="1" applyAlignment="1">
      <alignment wrapText="1"/>
    </xf>
    <xf numFmtId="0" fontId="2" fillId="2" borderId="64" xfId="0" applyFont="1" applyFill="1" applyBorder="1"/>
    <xf numFmtId="0" fontId="2" fillId="2" borderId="9" xfId="0" applyFont="1" applyFill="1" applyBorder="1"/>
    <xf numFmtId="0" fontId="2" fillId="2" borderId="61" xfId="0" applyFont="1" applyFill="1" applyBorder="1"/>
    <xf numFmtId="0" fontId="2" fillId="2" borderId="0" xfId="0" applyFont="1" applyFill="1" applyBorder="1"/>
    <xf numFmtId="0" fontId="2" fillId="3" borderId="50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/>
    </xf>
    <xf numFmtId="171" fontId="9" fillId="0" borderId="0" xfId="0" applyNumberFormat="1" applyFont="1" applyBorder="1" applyAlignment="1" applyProtection="1">
      <alignment horizontal="center"/>
      <protection locked="0"/>
    </xf>
    <xf numFmtId="171" fontId="9" fillId="0" borderId="9" xfId="0" applyNumberFormat="1" applyFont="1" applyBorder="1" applyAlignment="1" applyProtection="1">
      <alignment horizontal="center"/>
      <protection locked="0"/>
    </xf>
    <xf numFmtId="0" fontId="2" fillId="4" borderId="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61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11" fillId="0" borderId="5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1" xfId="0" applyFont="1" applyBorder="1"/>
    <xf numFmtId="0" fontId="2" fillId="2" borderId="64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0" fontId="2" fillId="2" borderId="61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4" borderId="57" xfId="0" applyFont="1" applyFill="1" applyBorder="1" applyAlignment="1">
      <alignment horizontal="center" vertical="center"/>
    </xf>
    <xf numFmtId="171" fontId="9" fillId="0" borderId="0" xfId="0" applyNumberFormat="1" applyFont="1" applyBorder="1" applyAlignment="1" applyProtection="1">
      <alignment horizontal="center" vertical="center"/>
      <protection locked="0"/>
    </xf>
    <xf numFmtId="171" fontId="9" fillId="0" borderId="9" xfId="0" applyNumberFormat="1" applyFont="1" applyBorder="1" applyAlignment="1" applyProtection="1">
      <alignment horizontal="center" vertical="center"/>
      <protection locked="0"/>
    </xf>
    <xf numFmtId="0" fontId="2" fillId="4" borderId="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61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1" xfId="0" applyFont="1" applyBorder="1" applyAlignment="1">
      <alignment vertical="center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175" fontId="21" fillId="0" borderId="55" xfId="1" applyNumberFormat="1" applyFont="1" applyBorder="1" applyAlignment="1">
      <alignment horizontal="left" vertical="center" wrapText="1"/>
    </xf>
    <xf numFmtId="175" fontId="21" fillId="0" borderId="6" xfId="1" applyNumberFormat="1" applyFont="1" applyBorder="1" applyAlignment="1">
      <alignment horizontal="left" vertical="top"/>
    </xf>
    <xf numFmtId="175" fontId="21" fillId="0" borderId="60" xfId="1" applyNumberFormat="1" applyFont="1" applyBorder="1" applyAlignment="1">
      <alignment horizontal="left" vertical="top"/>
    </xf>
    <xf numFmtId="0" fontId="2" fillId="0" borderId="46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/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/>
    <xf numFmtId="0" fontId="2" fillId="2" borderId="6" xfId="0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20" xfId="0" applyFont="1" applyFill="1" applyBorder="1"/>
    <xf numFmtId="0" fontId="2" fillId="3" borderId="20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2" fillId="0" borderId="43" xfId="0" applyFont="1" applyBorder="1" applyAlignment="1">
      <alignment horizontal="left" vertical="center" wrapText="1"/>
    </xf>
    <xf numFmtId="0" fontId="2" fillId="0" borderId="3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2" borderId="5" xfId="0" applyFont="1" applyFill="1" applyBorder="1" applyAlignment="1">
      <alignment horizontal="center" vertical="center" wrapText="1"/>
    </xf>
    <xf numFmtId="0" fontId="8" fillId="0" borderId="46" xfId="0" applyFont="1" applyBorder="1" applyAlignment="1">
      <alignment vertical="center" wrapText="1"/>
    </xf>
    <xf numFmtId="0" fontId="8" fillId="0" borderId="47" xfId="0" applyFont="1" applyBorder="1" applyAlignment="1">
      <alignment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8" fillId="0" borderId="46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left" vertical="center" wrapText="1"/>
    </xf>
    <xf numFmtId="0" fontId="6" fillId="0" borderId="46" xfId="0" applyFont="1" applyBorder="1" applyAlignment="1">
      <alignment vertical="center" wrapText="1"/>
    </xf>
    <xf numFmtId="0" fontId="6" fillId="0" borderId="47" xfId="0" applyFont="1" applyBorder="1" applyAlignment="1">
      <alignment vertical="center" wrapText="1"/>
    </xf>
    <xf numFmtId="0" fontId="15" fillId="0" borderId="46" xfId="0" applyFont="1" applyBorder="1" applyAlignment="1">
      <alignment horizontal="left"/>
    </xf>
    <xf numFmtId="0" fontId="15" fillId="0" borderId="47" xfId="0" applyFont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3" borderId="53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0" borderId="55" xfId="0" applyFont="1" applyBorder="1" applyAlignment="1">
      <alignment horizontal="left"/>
    </xf>
    <xf numFmtId="0" fontId="2" fillId="0" borderId="56" xfId="0" applyFont="1" applyBorder="1" applyAlignment="1">
      <alignment horizontal="left"/>
    </xf>
    <xf numFmtId="49" fontId="2" fillId="0" borderId="6" xfId="0" applyNumberFormat="1" applyFont="1" applyBorder="1" applyAlignment="1">
      <alignment horizontal="left"/>
    </xf>
    <xf numFmtId="0" fontId="2" fillId="3" borderId="34" xfId="0" applyFont="1" applyFill="1" applyBorder="1" applyAlignment="1">
      <alignment horizontal="center" vertical="center" wrapText="1"/>
    </xf>
    <xf numFmtId="0" fontId="2" fillId="0" borderId="60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5" borderId="33" xfId="0" applyFont="1" applyFill="1" applyBorder="1" applyAlignment="1">
      <alignment horizontal="center"/>
    </xf>
    <xf numFmtId="0" fontId="2" fillId="5" borderId="3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3" borderId="33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7" borderId="33" xfId="0" applyFont="1" applyFill="1" applyBorder="1" applyAlignment="1">
      <alignment horizontal="center" vertical="center" wrapText="1"/>
    </xf>
    <xf numFmtId="0" fontId="2" fillId="7" borderId="26" xfId="0" applyFont="1" applyFill="1" applyBorder="1" applyAlignment="1">
      <alignment horizontal="center" vertical="center" wrapText="1"/>
    </xf>
    <xf numFmtId="0" fontId="2" fillId="8" borderId="33" xfId="0" applyFont="1" applyFill="1" applyBorder="1" applyAlignment="1">
      <alignment horizontal="center" vertical="center" wrapText="1"/>
    </xf>
    <xf numFmtId="0" fontId="2" fillId="8" borderId="26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5" borderId="52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center"/>
    </xf>
    <xf numFmtId="0" fontId="2" fillId="5" borderId="21" xfId="0" applyFont="1" applyFill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3" borderId="20" xfId="0" applyFont="1" applyFill="1" applyBorder="1" applyAlignment="1">
      <alignment vertical="center"/>
    </xf>
    <xf numFmtId="0" fontId="2" fillId="3" borderId="20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5" fillId="0" borderId="46" xfId="0" applyFont="1" applyBorder="1" applyAlignment="1">
      <alignment horizontal="left" vertical="center"/>
    </xf>
    <xf numFmtId="0" fontId="15" fillId="0" borderId="47" xfId="0" applyFont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0" borderId="55" xfId="0" applyFont="1" applyBorder="1" applyAlignment="1">
      <alignment horizontal="left" vertical="center"/>
    </xf>
    <xf numFmtId="0" fontId="2" fillId="0" borderId="56" xfId="0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0" fontId="2" fillId="0" borderId="60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5" borderId="33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</cellXfs>
  <cellStyles count="3">
    <cellStyle name="Millares" xfId="1" builtinId="3"/>
    <cellStyle name="Moneda" xfId="2" builtinId="4"/>
    <cellStyle name="Normal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2"/>
  <sheetViews>
    <sheetView zoomScale="82" zoomScaleNormal="82" workbookViewId="0">
      <selection activeCell="C8" sqref="C8"/>
    </sheetView>
  </sheetViews>
  <sheetFormatPr baseColWidth="10" defaultColWidth="5.7109375" defaultRowHeight="15" x14ac:dyDescent="0.2"/>
  <cols>
    <col min="1" max="1" width="14" style="5" customWidth="1"/>
    <col min="2" max="2" width="12.85546875" style="5" customWidth="1"/>
    <col min="3" max="3" width="11.28515625" style="5" customWidth="1"/>
    <col min="4" max="4" width="5.85546875" style="5" customWidth="1"/>
    <col min="5" max="5" width="15.140625" style="5" customWidth="1"/>
    <col min="6" max="6" width="14.5703125" style="5" customWidth="1"/>
    <col min="7" max="7" width="14.85546875" style="5" customWidth="1"/>
    <col min="8" max="9" width="11.85546875" style="5" customWidth="1"/>
    <col min="10" max="10" width="16.140625" style="5" customWidth="1"/>
    <col min="11" max="11" width="18.42578125" style="5" customWidth="1"/>
    <col min="12" max="12" width="15" style="5" customWidth="1"/>
    <col min="13" max="13" width="15.42578125" style="5" customWidth="1"/>
    <col min="14" max="14" width="15" style="5" customWidth="1"/>
    <col min="15" max="15" width="18.85546875" style="5" customWidth="1"/>
    <col min="16" max="16" width="15.7109375" style="5" customWidth="1"/>
    <col min="17" max="17" width="11.140625" style="5" customWidth="1"/>
    <col min="18" max="18" width="11.42578125" style="5" customWidth="1"/>
    <col min="19" max="16384" width="5.7109375" style="5"/>
  </cols>
  <sheetData>
    <row r="1" spans="1:18" ht="20.100000000000001" customHeight="1" x14ac:dyDescent="0.2">
      <c r="A1" s="520"/>
      <c r="B1" s="521"/>
      <c r="C1" s="521"/>
      <c r="D1" s="521"/>
      <c r="E1" s="521"/>
      <c r="F1" s="521"/>
      <c r="G1" s="521"/>
      <c r="H1" s="521"/>
      <c r="I1" s="388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">
      <c r="A2" s="522"/>
      <c r="B2" s="523"/>
      <c r="C2" s="523"/>
      <c r="D2" s="523"/>
      <c r="E2" s="523"/>
      <c r="F2" s="523"/>
      <c r="G2" s="523"/>
      <c r="H2" s="523"/>
      <c r="I2" s="389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45717</v>
      </c>
      <c r="P2" s="10" t="s">
        <v>7</v>
      </c>
      <c r="Q2" s="11">
        <v>45292</v>
      </c>
    </row>
    <row r="3" spans="1:18" ht="20.100000000000001" customHeight="1" thickBot="1" x14ac:dyDescent="0.3">
      <c r="A3" s="524"/>
      <c r="B3" s="523"/>
      <c r="C3" s="523"/>
      <c r="D3" s="523"/>
      <c r="E3" s="523"/>
      <c r="F3" s="523"/>
      <c r="G3" s="523"/>
      <c r="H3" s="523"/>
      <c r="I3" s="390"/>
      <c r="J3" s="12" t="s">
        <v>8</v>
      </c>
      <c r="K3" s="528"/>
      <c r="L3" s="529"/>
      <c r="M3" s="529"/>
      <c r="N3" s="13" t="s">
        <v>9</v>
      </c>
      <c r="O3" s="14">
        <f>+O2-Q2+1</f>
        <v>426</v>
      </c>
      <c r="P3" s="15"/>
    </row>
    <row r="4" spans="1:18" ht="20.100000000000001" customHeight="1" thickBot="1" x14ac:dyDescent="0.3">
      <c r="A4" s="382"/>
      <c r="B4" s="383"/>
      <c r="C4" s="384"/>
      <c r="D4" s="385"/>
      <c r="E4" s="385"/>
      <c r="F4" s="386"/>
      <c r="G4" s="384"/>
      <c r="H4" s="385"/>
      <c r="I4" s="391"/>
      <c r="J4" s="366"/>
      <c r="K4" s="367"/>
      <c r="L4" s="368"/>
      <c r="M4" s="369"/>
      <c r="N4" s="368"/>
      <c r="O4" s="387"/>
      <c r="P4" s="371"/>
    </row>
    <row r="5" spans="1:18" ht="15" customHeight="1" thickBot="1" x14ac:dyDescent="0.25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31"/>
      <c r="B6" s="532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31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">
      <c r="A7" s="409" t="s">
        <v>28</v>
      </c>
      <c r="B7" s="24">
        <v>5200.0017685644698</v>
      </c>
      <c r="C7" s="25">
        <f>M34/2.0185</f>
        <v>0</v>
      </c>
      <c r="D7" s="26"/>
      <c r="E7" s="27"/>
      <c r="F7" s="28">
        <f>B7+C7+E7</f>
        <v>5200.0017685644698</v>
      </c>
      <c r="G7" s="29">
        <f>E47</f>
        <v>883.60468140442129</v>
      </c>
      <c r="H7" s="30"/>
      <c r="I7" s="30"/>
      <c r="J7" s="31">
        <f>E47</f>
        <v>883.60468140442129</v>
      </c>
      <c r="K7" s="24">
        <f>F7-J7-H7</f>
        <v>4316.3970871600486</v>
      </c>
      <c r="L7" s="32">
        <v>5200</v>
      </c>
      <c r="M7" s="32">
        <v>4400</v>
      </c>
      <c r="N7" s="33">
        <f>J7</f>
        <v>883.60468140442129</v>
      </c>
      <c r="O7" s="34">
        <f>+F47</f>
        <v>7.69</v>
      </c>
      <c r="P7" s="35">
        <f>N7*O7</f>
        <v>6794.92</v>
      </c>
      <c r="Q7" s="36">
        <f>+M7-K7</f>
        <v>83.602912839951387</v>
      </c>
      <c r="R7" s="37" t="s">
        <v>29</v>
      </c>
    </row>
    <row r="8" spans="1:18" s="37" customFormat="1" ht="21" customHeight="1" x14ac:dyDescent="0.2">
      <c r="A8" s="409" t="s">
        <v>142</v>
      </c>
      <c r="B8" s="39">
        <v>610.00002110765706</v>
      </c>
      <c r="C8" s="40">
        <f>M30</f>
        <v>990</v>
      </c>
      <c r="D8" s="41"/>
      <c r="E8" s="42"/>
      <c r="F8" s="43">
        <f>B8+C8+E8</f>
        <v>1600.0000211076572</v>
      </c>
      <c r="G8" s="44">
        <f>E48</f>
        <v>197.78216123499143</v>
      </c>
      <c r="H8" s="42"/>
      <c r="I8" s="42"/>
      <c r="J8" s="45">
        <f>E48</f>
        <v>197.78216123499143</v>
      </c>
      <c r="K8" s="39">
        <f>F8-J8-H8</f>
        <v>1402.2178598726657</v>
      </c>
      <c r="L8" s="32">
        <v>610</v>
      </c>
      <c r="M8" s="32">
        <v>1400</v>
      </c>
      <c r="N8" s="46">
        <f>J8</f>
        <v>197.78216123499143</v>
      </c>
      <c r="O8" s="34">
        <f>+F48</f>
        <v>17.489999999999998</v>
      </c>
      <c r="P8" s="47">
        <f>N8*O8</f>
        <v>3459.21</v>
      </c>
      <c r="Q8" s="36">
        <f>+M8-K8</f>
        <v>-2.2178598726657128</v>
      </c>
    </row>
    <row r="9" spans="1:18" s="37" customFormat="1" x14ac:dyDescent="0.2">
      <c r="A9" s="410" t="s">
        <v>143</v>
      </c>
      <c r="B9" s="39">
        <v>1180.0038735348687</v>
      </c>
      <c r="C9" s="40">
        <f>M31</f>
        <v>1970</v>
      </c>
      <c r="D9" s="41"/>
      <c r="E9" s="42"/>
      <c r="F9" s="43">
        <f>B9+C9+E9</f>
        <v>3150.0038735348689</v>
      </c>
      <c r="G9" s="44">
        <f>E49</f>
        <v>597.24920331421288</v>
      </c>
      <c r="H9" s="42"/>
      <c r="I9" s="42"/>
      <c r="J9" s="45">
        <f>E49</f>
        <v>597.24920331421288</v>
      </c>
      <c r="K9" s="39">
        <f>F9-J9-H9</f>
        <v>2552.754670220656</v>
      </c>
      <c r="L9" s="32">
        <v>1180</v>
      </c>
      <c r="M9" s="32">
        <v>2560</v>
      </c>
      <c r="N9" s="46">
        <f>J9</f>
        <v>597.24920331421288</v>
      </c>
      <c r="O9" s="34">
        <v>15.69</v>
      </c>
      <c r="P9" s="47">
        <f>N9*O9</f>
        <v>9370.84</v>
      </c>
      <c r="Q9" s="36">
        <f>+M9-K9</f>
        <v>7.245329779344047</v>
      </c>
    </row>
    <row r="10" spans="1:18" s="37" customFormat="1" ht="15.75" thickBot="1" x14ac:dyDescent="0.25">
      <c r="A10" s="411" t="s">
        <v>33</v>
      </c>
      <c r="B10" s="48">
        <v>1160.0015926427388</v>
      </c>
      <c r="C10" s="49">
        <f>M33</f>
        <v>0</v>
      </c>
      <c r="D10" s="50"/>
      <c r="E10" s="51"/>
      <c r="F10" s="52">
        <f>B10+C10+E10</f>
        <v>1160.0015926427388</v>
      </c>
      <c r="G10" s="53">
        <f>E51</f>
        <v>143.82039769082743</v>
      </c>
      <c r="H10" s="51"/>
      <c r="I10" s="51"/>
      <c r="J10" s="54">
        <f>E51</f>
        <v>143.82039769082743</v>
      </c>
      <c r="K10" s="48">
        <f>F10-J10-H10</f>
        <v>1016.1811949519114</v>
      </c>
      <c r="L10" s="32">
        <v>1160</v>
      </c>
      <c r="M10" s="32">
        <v>1020</v>
      </c>
      <c r="N10" s="55">
        <f>J10</f>
        <v>143.82039769082743</v>
      </c>
      <c r="O10" s="34">
        <v>15.59</v>
      </c>
      <c r="P10" s="56">
        <f>N10*O10</f>
        <v>2242.16</v>
      </c>
      <c r="Q10" s="36">
        <f>+M10-K10</f>
        <v>3.8188050480886204</v>
      </c>
    </row>
    <row r="11" spans="1:18" s="37" customFormat="1" ht="15.75" thickBot="1" x14ac:dyDescent="0.3">
      <c r="A11" s="57" t="s">
        <v>34</v>
      </c>
      <c r="B11" s="58">
        <v>8150.0072558497341</v>
      </c>
      <c r="C11" s="59">
        <f>SUM(C7:C10)</f>
        <v>2960</v>
      </c>
      <c r="D11" s="60"/>
      <c r="E11" s="61"/>
      <c r="F11" s="62">
        <f>SUM(F7:F10)</f>
        <v>11110.007255849736</v>
      </c>
      <c r="G11" s="63">
        <f>SUM(G7:G10)</f>
        <v>1822.4564436444527</v>
      </c>
      <c r="H11" s="58"/>
      <c r="I11" s="58"/>
      <c r="J11" s="64">
        <f>SUM(J7:J10)</f>
        <v>1822.4564436444527</v>
      </c>
      <c r="K11" s="58">
        <f>SUM(K7:K10)</f>
        <v>9287.5508122052815</v>
      </c>
      <c r="L11" s="65" t="e">
        <f>L7+L8+L9+#REF!+L10</f>
        <v>#REF!</v>
      </c>
      <c r="M11" s="65" t="e">
        <f>M7+M8+M9+#REF!+M10</f>
        <v>#REF!</v>
      </c>
      <c r="N11" s="66">
        <f>SUM(N7:N10)</f>
        <v>1822.4564436444527</v>
      </c>
      <c r="O11" s="67"/>
      <c r="P11" s="68">
        <f>SUM(P7:P10)</f>
        <v>21867.13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">
      <c r="A13" s="72"/>
      <c r="B13" s="73"/>
      <c r="C13" s="74"/>
      <c r="D13" s="75"/>
      <c r="E13" s="76"/>
      <c r="F13" s="77"/>
      <c r="G13" s="78"/>
      <c r="H13" s="79"/>
      <c r="I13" s="393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1822.4564436444527</v>
      </c>
      <c r="P13" s="83">
        <f>+P11</f>
        <v>21867.13</v>
      </c>
    </row>
    <row r="14" spans="1:18" ht="15" customHeight="1" x14ac:dyDescent="0.2">
      <c r="A14" s="72"/>
      <c r="B14" s="73"/>
      <c r="C14" s="84"/>
      <c r="D14" s="85"/>
      <c r="E14" s="86"/>
      <c r="F14" s="77"/>
      <c r="G14" s="78"/>
      <c r="H14" s="79"/>
      <c r="I14" s="393"/>
      <c r="J14" s="87" t="s">
        <v>50</v>
      </c>
      <c r="K14" s="88"/>
      <c r="L14" s="84"/>
      <c r="M14" s="518" t="s">
        <v>51</v>
      </c>
      <c r="N14" s="519"/>
      <c r="O14" s="89">
        <v>0</v>
      </c>
      <c r="P14" s="90"/>
    </row>
    <row r="15" spans="1:18" ht="15" customHeight="1" thickBot="1" x14ac:dyDescent="0.25">
      <c r="A15" s="72"/>
      <c r="B15" s="73"/>
      <c r="C15" s="84"/>
      <c r="D15" s="85"/>
      <c r="E15" s="86"/>
      <c r="F15" s="77"/>
      <c r="G15" s="78"/>
      <c r="H15" s="79"/>
      <c r="I15" s="393"/>
      <c r="J15" s="91"/>
      <c r="K15" s="88"/>
      <c r="L15" s="92"/>
      <c r="M15" s="518" t="s">
        <v>52</v>
      </c>
      <c r="N15" s="519"/>
      <c r="O15" s="89">
        <v>0</v>
      </c>
      <c r="P15" s="90">
        <f>E43</f>
        <v>3136.56</v>
      </c>
    </row>
    <row r="16" spans="1:18" ht="15" customHeight="1" x14ac:dyDescent="0.2">
      <c r="A16" s="72"/>
      <c r="B16" s="73"/>
      <c r="C16" s="84"/>
      <c r="D16" s="85"/>
      <c r="E16" s="86"/>
      <c r="F16" s="77"/>
      <c r="G16" s="78"/>
      <c r="H16" s="79"/>
      <c r="I16" s="393"/>
      <c r="J16" s="525" t="s">
        <v>51</v>
      </c>
      <c r="K16" s="544"/>
      <c r="L16" s="93"/>
      <c r="M16" s="545" t="s">
        <v>53</v>
      </c>
      <c r="N16" s="546"/>
      <c r="O16" s="94">
        <v>0</v>
      </c>
      <c r="P16" s="95">
        <f>F43</f>
        <v>917.92</v>
      </c>
    </row>
    <row r="17" spans="1:17" ht="15" customHeight="1" thickBot="1" x14ac:dyDescent="0.25">
      <c r="A17" s="72"/>
      <c r="B17" s="73"/>
      <c r="C17" s="84"/>
      <c r="D17" s="85"/>
      <c r="E17" s="86"/>
      <c r="F17" s="77"/>
      <c r="G17" s="78"/>
      <c r="H17" s="96"/>
      <c r="I17" s="394"/>
      <c r="J17" s="547" t="s">
        <v>54</v>
      </c>
      <c r="K17" s="548"/>
      <c r="L17" s="97"/>
      <c r="M17" s="545" t="s">
        <v>55</v>
      </c>
      <c r="N17" s="546"/>
      <c r="O17" s="94">
        <v>0</v>
      </c>
      <c r="P17" s="98">
        <v>0</v>
      </c>
    </row>
    <row r="18" spans="1:17" ht="15" customHeight="1" x14ac:dyDescent="0.25">
      <c r="A18" s="72"/>
      <c r="B18" s="73"/>
      <c r="C18" s="84"/>
      <c r="D18" s="85"/>
      <c r="E18" s="86"/>
      <c r="F18" s="77"/>
      <c r="G18" s="78"/>
      <c r="H18" s="96"/>
      <c r="I18" s="394"/>
      <c r="J18" s="99" t="s">
        <v>56</v>
      </c>
      <c r="K18" s="100"/>
      <c r="L18" s="97"/>
      <c r="M18" s="545" t="s">
        <v>57</v>
      </c>
      <c r="N18" s="546"/>
      <c r="O18" s="94">
        <v>0</v>
      </c>
      <c r="P18" s="95">
        <v>0</v>
      </c>
    </row>
    <row r="19" spans="1:17" ht="15" customHeight="1" x14ac:dyDescent="0.2">
      <c r="A19" s="72"/>
      <c r="B19" s="73"/>
      <c r="C19" s="84"/>
      <c r="D19" s="85"/>
      <c r="E19" s="86"/>
      <c r="F19" s="77"/>
      <c r="G19" s="78"/>
      <c r="H19" s="96"/>
      <c r="I19" s="395"/>
      <c r="J19" s="101" t="s">
        <v>58</v>
      </c>
      <c r="K19" s="102">
        <v>0</v>
      </c>
      <c r="L19" s="97"/>
      <c r="M19" s="549" t="s">
        <v>59</v>
      </c>
      <c r="N19" s="550"/>
      <c r="O19" s="94">
        <v>0</v>
      </c>
      <c r="P19" s="95">
        <v>0</v>
      </c>
    </row>
    <row r="20" spans="1:17" ht="15" customHeight="1" thickBot="1" x14ac:dyDescent="0.25">
      <c r="A20" s="72"/>
      <c r="B20" s="73"/>
      <c r="C20" s="84"/>
      <c r="D20" s="85"/>
      <c r="E20" s="86"/>
      <c r="F20" s="77"/>
      <c r="G20" s="78"/>
      <c r="H20" s="96"/>
      <c r="I20" s="395"/>
      <c r="J20" s="103" t="s">
        <v>60</v>
      </c>
      <c r="K20" s="104"/>
      <c r="L20" s="97"/>
      <c r="M20" s="551" t="s">
        <v>61</v>
      </c>
      <c r="N20" s="552"/>
      <c r="O20" s="105">
        <v>0</v>
      </c>
      <c r="P20" s="106">
        <v>0</v>
      </c>
    </row>
    <row r="21" spans="1:17" ht="15" customHeight="1" thickBot="1" x14ac:dyDescent="0.25">
      <c r="A21" s="72"/>
      <c r="B21" s="73"/>
      <c r="C21" s="84"/>
      <c r="D21" s="85"/>
      <c r="E21" s="86"/>
      <c r="F21" s="77"/>
      <c r="G21" s="78"/>
      <c r="H21" s="96"/>
      <c r="I21" s="394"/>
      <c r="J21" s="107" t="s">
        <v>56</v>
      </c>
      <c r="K21" s="108">
        <f>+K18+K19-K20</f>
        <v>0</v>
      </c>
      <c r="L21" s="97"/>
      <c r="M21" s="549" t="s">
        <v>62</v>
      </c>
      <c r="N21" s="553"/>
      <c r="O21" s="94">
        <v>0</v>
      </c>
      <c r="P21" s="95">
        <v>0</v>
      </c>
    </row>
    <row r="22" spans="1:17" ht="15" customHeight="1" thickBot="1" x14ac:dyDescent="0.25">
      <c r="A22" s="72"/>
      <c r="B22" s="73"/>
      <c r="C22" s="84"/>
      <c r="D22" s="85"/>
      <c r="E22" s="86"/>
      <c r="F22" s="77"/>
      <c r="G22" s="78"/>
      <c r="H22" s="96"/>
      <c r="I22" s="394"/>
      <c r="J22" s="547" t="s">
        <v>63</v>
      </c>
      <c r="K22" s="548"/>
      <c r="L22" s="109"/>
      <c r="M22" s="554" t="s">
        <v>64</v>
      </c>
      <c r="N22" s="555"/>
      <c r="O22" s="105">
        <v>0</v>
      </c>
      <c r="P22" s="106">
        <v>300</v>
      </c>
    </row>
    <row r="23" spans="1:17" ht="15" customHeight="1" thickBot="1" x14ac:dyDescent="0.3">
      <c r="A23" s="72"/>
      <c r="B23" s="73"/>
      <c r="C23" s="84"/>
      <c r="D23" s="85"/>
      <c r="E23" s="86"/>
      <c r="F23" s="77"/>
      <c r="G23" s="78"/>
      <c r="H23" s="110"/>
      <c r="I23" s="396"/>
      <c r="J23" s="99" t="s">
        <v>56</v>
      </c>
      <c r="K23" s="100">
        <v>0</v>
      </c>
      <c r="L23" s="111"/>
      <c r="M23" s="556" t="s">
        <v>65</v>
      </c>
      <c r="N23" s="557"/>
      <c r="O23" s="94">
        <v>0</v>
      </c>
      <c r="P23" s="112"/>
    </row>
    <row r="24" spans="1:17" ht="15" customHeight="1" thickBot="1" x14ac:dyDescent="0.25">
      <c r="A24" s="542"/>
      <c r="B24" s="543"/>
      <c r="C24" s="84"/>
      <c r="D24" s="85"/>
      <c r="E24" s="86"/>
      <c r="F24" s="77"/>
      <c r="G24" s="78"/>
      <c r="H24" s="110"/>
      <c r="I24" s="397"/>
      <c r="J24" s="101" t="s">
        <v>66</v>
      </c>
      <c r="K24" s="102">
        <v>0</v>
      </c>
      <c r="L24" s="115"/>
      <c r="M24" s="116" t="s">
        <v>67</v>
      </c>
      <c r="N24" s="117"/>
      <c r="O24" s="118">
        <v>0</v>
      </c>
      <c r="P24" s="119"/>
    </row>
    <row r="25" spans="1:17" ht="15" customHeight="1" x14ac:dyDescent="0.2">
      <c r="A25" s="113"/>
      <c r="B25" s="114"/>
      <c r="C25" s="84"/>
      <c r="D25" s="85"/>
      <c r="E25" s="86"/>
      <c r="F25" s="77"/>
      <c r="G25" s="78"/>
      <c r="H25" s="110"/>
      <c r="I25" s="397"/>
      <c r="J25" s="101" t="s">
        <v>68</v>
      </c>
      <c r="K25" s="102"/>
      <c r="L25" s="120"/>
      <c r="M25" s="116" t="s">
        <v>69</v>
      </c>
      <c r="N25" s="121"/>
      <c r="O25" s="122"/>
      <c r="P25" s="98"/>
    </row>
    <row r="26" spans="1:17" ht="15" customHeight="1" thickBot="1" x14ac:dyDescent="0.25">
      <c r="A26" s="113"/>
      <c r="B26" s="114"/>
      <c r="C26" s="84"/>
      <c r="D26" s="85"/>
      <c r="E26" s="86"/>
      <c r="F26" s="77"/>
      <c r="G26" s="78"/>
      <c r="H26" s="110"/>
      <c r="I26" s="398"/>
      <c r="J26" s="123" t="s">
        <v>70</v>
      </c>
      <c r="K26" s="124">
        <v>0</v>
      </c>
      <c r="L26" s="125"/>
      <c r="M26" s="126"/>
      <c r="N26" s="127"/>
      <c r="O26" s="128"/>
      <c r="P26" s="129"/>
    </row>
    <row r="27" spans="1:17" ht="15" customHeight="1" thickBot="1" x14ac:dyDescent="0.25">
      <c r="A27" s="542"/>
      <c r="B27" s="543"/>
      <c r="C27" s="84"/>
      <c r="D27" s="85"/>
      <c r="E27" s="86"/>
      <c r="F27" s="77"/>
      <c r="G27" s="78"/>
      <c r="H27" s="110"/>
      <c r="I27" s="396"/>
      <c r="J27" s="107" t="s">
        <v>56</v>
      </c>
      <c r="K27" s="108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17512.650000000001</v>
      </c>
    </row>
    <row r="28" spans="1:17" ht="15" customHeight="1" thickBot="1" x14ac:dyDescent="0.25">
      <c r="A28" s="542"/>
      <c r="B28" s="543"/>
      <c r="C28" s="84"/>
      <c r="D28" s="85"/>
      <c r="E28" s="86"/>
      <c r="F28" s="77"/>
      <c r="G28" s="78"/>
      <c r="H28" s="132"/>
      <c r="I28" s="399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563" t="s">
        <v>73</v>
      </c>
      <c r="B29" s="564"/>
      <c r="C29" s="564"/>
      <c r="D29" s="565"/>
      <c r="E29" s="133" t="e">
        <f>+#REF!</f>
        <v>#REF!</v>
      </c>
      <c r="F29" s="134"/>
      <c r="G29" s="135" t="e">
        <f>+#REF!</f>
        <v>#REF!</v>
      </c>
      <c r="H29" s="110"/>
      <c r="I29" s="396"/>
      <c r="J29" s="99" t="s">
        <v>56</v>
      </c>
      <c r="K29" s="136">
        <v>0</v>
      </c>
      <c r="L29" s="137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">
      <c r="A30" s="566"/>
      <c r="B30" s="567"/>
      <c r="C30" s="74" t="s">
        <v>78</v>
      </c>
      <c r="D30" s="75" t="s">
        <v>33</v>
      </c>
      <c r="E30" s="139">
        <f t="shared" ref="E30:E36" si="0">+G30/F30</f>
        <v>0</v>
      </c>
      <c r="F30" s="140">
        <v>9.6999999999999993</v>
      </c>
      <c r="G30" s="139">
        <v>0</v>
      </c>
      <c r="H30" s="110" t="s">
        <v>48</v>
      </c>
      <c r="I30" s="397"/>
      <c r="J30" s="101" t="s">
        <v>58</v>
      </c>
      <c r="K30" s="120">
        <v>0</v>
      </c>
      <c r="L30" s="137" t="s">
        <v>30</v>
      </c>
      <c r="M30" s="138">
        <v>990</v>
      </c>
      <c r="N30" s="141" t="s">
        <v>112</v>
      </c>
      <c r="O30" s="141" t="s">
        <v>113</v>
      </c>
      <c r="P30" s="141" t="s">
        <v>79</v>
      </c>
    </row>
    <row r="31" spans="1:17" ht="15" customHeight="1" thickBot="1" x14ac:dyDescent="0.25">
      <c r="A31" s="542"/>
      <c r="B31" s="543"/>
      <c r="C31" s="84" t="s">
        <v>78</v>
      </c>
      <c r="D31" s="85" t="s">
        <v>33</v>
      </c>
      <c r="E31" s="139">
        <f t="shared" si="0"/>
        <v>0</v>
      </c>
      <c r="F31" s="142">
        <v>10.09</v>
      </c>
      <c r="G31" s="139">
        <v>0</v>
      </c>
      <c r="H31" s="110"/>
      <c r="I31" s="398"/>
      <c r="J31" s="143" t="s">
        <v>70</v>
      </c>
      <c r="K31" s="144">
        <v>0</v>
      </c>
      <c r="L31" s="145" t="s">
        <v>31</v>
      </c>
      <c r="M31" s="138">
        <v>1970</v>
      </c>
      <c r="N31" s="141" t="s">
        <v>112</v>
      </c>
      <c r="O31" s="141" t="s">
        <v>113</v>
      </c>
      <c r="P31" s="141" t="s">
        <v>80</v>
      </c>
      <c r="Q31" s="5" t="s">
        <v>48</v>
      </c>
    </row>
    <row r="32" spans="1:17" ht="15" customHeight="1" thickBot="1" x14ac:dyDescent="0.25">
      <c r="A32" s="568"/>
      <c r="B32" s="543"/>
      <c r="C32" s="84" t="s">
        <v>78</v>
      </c>
      <c r="D32" s="85" t="s">
        <v>33</v>
      </c>
      <c r="E32" s="146">
        <f t="shared" si="0"/>
        <v>0</v>
      </c>
      <c r="F32" s="142">
        <v>10.09</v>
      </c>
      <c r="G32" s="146">
        <v>0</v>
      </c>
      <c r="H32" s="110"/>
      <c r="I32" s="396"/>
      <c r="J32" s="107" t="s">
        <v>56</v>
      </c>
      <c r="K32" s="119">
        <f>+K29+K30-K31</f>
        <v>0</v>
      </c>
      <c r="L32" s="137"/>
      <c r="M32" s="138"/>
      <c r="N32" s="141"/>
      <c r="O32" s="147"/>
      <c r="P32" s="141" t="s">
        <v>81</v>
      </c>
    </row>
    <row r="33" spans="1:16" ht="15" customHeight="1" thickBot="1" x14ac:dyDescent="0.25">
      <c r="A33" s="558"/>
      <c r="B33" s="559"/>
      <c r="C33" s="84" t="s">
        <v>78</v>
      </c>
      <c r="D33" s="85" t="s">
        <v>33</v>
      </c>
      <c r="E33" s="146">
        <f t="shared" si="0"/>
        <v>0</v>
      </c>
      <c r="F33" s="142">
        <v>10.09</v>
      </c>
      <c r="G33" s="146">
        <v>0</v>
      </c>
      <c r="H33" s="148"/>
      <c r="I33" s="400"/>
      <c r="J33" s="569"/>
      <c r="K33" s="569"/>
      <c r="L33" s="137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558" t="s">
        <v>48</v>
      </c>
      <c r="B34" s="559"/>
      <c r="C34" s="84" t="s">
        <v>84</v>
      </c>
      <c r="D34" s="150" t="s">
        <v>33</v>
      </c>
      <c r="E34" s="151">
        <f t="shared" si="0"/>
        <v>0</v>
      </c>
      <c r="F34" s="142">
        <v>10.09</v>
      </c>
      <c r="G34" s="146">
        <v>0</v>
      </c>
      <c r="H34" s="148"/>
      <c r="I34" s="400"/>
      <c r="J34" s="99" t="s">
        <v>56</v>
      </c>
      <c r="K34" s="136">
        <v>0</v>
      </c>
      <c r="L34" s="137" t="s">
        <v>85</v>
      </c>
      <c r="M34" s="138"/>
      <c r="N34" s="141"/>
      <c r="O34" s="147"/>
      <c r="P34" s="152" t="s">
        <v>86</v>
      </c>
    </row>
    <row r="35" spans="1:16" ht="15" customHeight="1" x14ac:dyDescent="0.2">
      <c r="A35" s="558"/>
      <c r="B35" s="559"/>
      <c r="C35" s="84" t="s">
        <v>78</v>
      </c>
      <c r="D35" s="85" t="s">
        <v>33</v>
      </c>
      <c r="E35" s="146">
        <f t="shared" si="0"/>
        <v>0</v>
      </c>
      <c r="F35" s="142">
        <v>10</v>
      </c>
      <c r="G35" s="146">
        <v>0</v>
      </c>
      <c r="H35" s="110"/>
      <c r="I35" s="397"/>
      <c r="J35" s="101" t="s">
        <v>58</v>
      </c>
      <c r="K35" s="120">
        <v>0</v>
      </c>
      <c r="L35" s="137" t="s">
        <v>87</v>
      </c>
      <c r="M35" s="138"/>
      <c r="N35" s="149"/>
      <c r="O35" s="153"/>
      <c r="P35" s="154" t="s">
        <v>88</v>
      </c>
    </row>
    <row r="36" spans="1:16" ht="15" customHeight="1" thickBot="1" x14ac:dyDescent="0.25">
      <c r="A36" s="570" t="s">
        <v>89</v>
      </c>
      <c r="B36" s="571"/>
      <c r="C36" s="155" t="s">
        <v>78</v>
      </c>
      <c r="D36" s="156" t="s">
        <v>33</v>
      </c>
      <c r="E36" s="157">
        <f t="shared" si="0"/>
        <v>0</v>
      </c>
      <c r="F36" s="158">
        <v>10.09</v>
      </c>
      <c r="G36" s="139">
        <v>0</v>
      </c>
      <c r="H36" s="110"/>
      <c r="I36" s="398"/>
      <c r="J36" s="159" t="s">
        <v>90</v>
      </c>
      <c r="K36" s="144">
        <v>0</v>
      </c>
      <c r="L36" s="160"/>
      <c r="M36" s="141"/>
      <c r="N36" s="141"/>
      <c r="O36" s="141"/>
      <c r="P36" s="141" t="s">
        <v>91</v>
      </c>
    </row>
    <row r="37" spans="1:16" ht="15" customHeight="1" thickBot="1" x14ac:dyDescent="0.25">
      <c r="A37" s="563" t="s">
        <v>92</v>
      </c>
      <c r="B37" s="564"/>
      <c r="C37" s="564"/>
      <c r="D37" s="565"/>
      <c r="E37" s="133">
        <f>SUM(E30:E36)</f>
        <v>0</v>
      </c>
      <c r="F37" s="161"/>
      <c r="G37" s="162">
        <f>+G30+G31+G32+G33+G34+G35+G36</f>
        <v>0</v>
      </c>
      <c r="H37" s="110"/>
      <c r="I37" s="396"/>
      <c r="J37" s="163" t="s">
        <v>56</v>
      </c>
      <c r="K37" s="164">
        <f>+K34+K35-K36</f>
        <v>0</v>
      </c>
      <c r="L37" s="165" t="s">
        <v>48</v>
      </c>
      <c r="M37" s="141"/>
      <c r="N37" s="141"/>
      <c r="O37" s="141"/>
      <c r="P37" s="141" t="s">
        <v>93</v>
      </c>
    </row>
    <row r="38" spans="1:16" ht="15" customHeight="1" thickBot="1" x14ac:dyDescent="0.25">
      <c r="A38" s="572"/>
      <c r="B38" s="573"/>
      <c r="C38" s="573"/>
      <c r="D38" s="574"/>
      <c r="E38" s="166"/>
      <c r="F38" s="167"/>
      <c r="G38" s="168"/>
      <c r="H38" s="85"/>
      <c r="I38" s="401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591"/>
      <c r="B39" s="592"/>
      <c r="C39" s="592"/>
      <c r="D39" s="593"/>
      <c r="E39" s="171"/>
      <c r="F39" s="172"/>
      <c r="G39" s="171"/>
      <c r="H39" s="173"/>
      <c r="I39" s="402"/>
      <c r="J39" s="174" t="s">
        <v>28</v>
      </c>
      <c r="K39" s="111">
        <v>5877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176" t="s">
        <v>98</v>
      </c>
      <c r="F40" s="177" t="s">
        <v>28</v>
      </c>
      <c r="G40" s="178"/>
      <c r="H40" s="173"/>
      <c r="I40" s="403"/>
      <c r="J40" s="179" t="s">
        <v>98</v>
      </c>
      <c r="K40" s="120">
        <v>11635.5</v>
      </c>
      <c r="L40" s="180" t="s">
        <v>99</v>
      </c>
      <c r="M40" s="181" t="s">
        <v>56</v>
      </c>
      <c r="N40" s="182">
        <v>0</v>
      </c>
      <c r="O40" s="183" t="s">
        <v>56</v>
      </c>
      <c r="P40" s="184">
        <v>0</v>
      </c>
    </row>
    <row r="41" spans="1:16" ht="15" customHeight="1" thickBot="1" x14ac:dyDescent="0.25">
      <c r="A41" s="584" t="s">
        <v>100</v>
      </c>
      <c r="B41" s="585"/>
      <c r="C41" s="585"/>
      <c r="D41" s="585"/>
      <c r="E41" s="185">
        <v>2376.56</v>
      </c>
      <c r="F41" s="186"/>
      <c r="G41" s="187"/>
      <c r="H41" s="85"/>
      <c r="I41" s="404"/>
      <c r="J41" s="159" t="s">
        <v>101</v>
      </c>
      <c r="K41" s="188"/>
      <c r="L41" s="137"/>
      <c r="M41" s="101" t="s">
        <v>58</v>
      </c>
      <c r="N41" s="189">
        <v>0</v>
      </c>
      <c r="O41" s="72" t="s">
        <v>102</v>
      </c>
      <c r="P41" s="190">
        <f>G32</f>
        <v>0</v>
      </c>
    </row>
    <row r="42" spans="1:16" ht="15" customHeight="1" thickBot="1" x14ac:dyDescent="0.25">
      <c r="A42" s="586" t="s">
        <v>103</v>
      </c>
      <c r="B42" s="587"/>
      <c r="C42" s="587"/>
      <c r="D42" s="587"/>
      <c r="E42" s="191">
        <v>760</v>
      </c>
      <c r="F42" s="192">
        <v>917.92</v>
      </c>
      <c r="G42" s="187"/>
      <c r="H42" s="85"/>
      <c r="I42" s="405"/>
      <c r="J42" s="107" t="s">
        <v>34</v>
      </c>
      <c r="K42" s="193">
        <f>SUM(K39:K41)-K41</f>
        <v>17512.5</v>
      </c>
      <c r="L42" s="194"/>
      <c r="M42" s="143" t="s">
        <v>104</v>
      </c>
      <c r="N42" s="189">
        <v>0</v>
      </c>
      <c r="O42" s="195" t="s">
        <v>105</v>
      </c>
      <c r="P42" s="196">
        <v>0</v>
      </c>
    </row>
    <row r="43" spans="1:16" ht="15" customHeight="1" thickBot="1" x14ac:dyDescent="0.25">
      <c r="A43" s="588"/>
      <c r="B43" s="589"/>
      <c r="C43" s="589"/>
      <c r="D43" s="590"/>
      <c r="E43" s="197">
        <f>SUM(E41:E42)</f>
        <v>3136.56</v>
      </c>
      <c r="F43" s="192">
        <f>SUM(F41:F42)</f>
        <v>917.92</v>
      </c>
      <c r="G43" s="187">
        <f>SUM(E43:F43)</f>
        <v>4054.48</v>
      </c>
      <c r="H43" s="85"/>
      <c r="I43" s="405"/>
      <c r="J43" s="5" t="s">
        <v>106</v>
      </c>
      <c r="K43" s="153">
        <f>P27-K42</f>
        <v>0.15000000000145519</v>
      </c>
      <c r="L43" s="194"/>
      <c r="M43" s="163" t="s">
        <v>56</v>
      </c>
      <c r="N43" s="198">
        <f>+N40-N41+N42</f>
        <v>0</v>
      </c>
      <c r="O43" s="199" t="s">
        <v>56</v>
      </c>
      <c r="P43" s="200">
        <f>+P40+P41-P42</f>
        <v>0</v>
      </c>
    </row>
    <row r="44" spans="1:16" ht="15" customHeight="1" thickBot="1" x14ac:dyDescent="0.25">
      <c r="A44" s="577"/>
      <c r="B44" s="578"/>
      <c r="C44" s="578"/>
      <c r="D44" s="201"/>
      <c r="E44" s="202"/>
      <c r="F44" s="203"/>
      <c r="G44" s="204"/>
      <c r="H44" s="205"/>
      <c r="I44" s="406"/>
      <c r="J44" s="101"/>
      <c r="K44" s="119"/>
      <c r="L44" s="206" t="s">
        <v>48</v>
      </c>
      <c r="M44" s="207" t="s">
        <v>107</v>
      </c>
      <c r="N44" s="208"/>
      <c r="O44" s="209"/>
      <c r="P44" s="210"/>
    </row>
    <row r="45" spans="1:16" x14ac:dyDescent="0.2">
      <c r="E45" s="211"/>
      <c r="G45" s="211"/>
    </row>
    <row r="46" spans="1:16" ht="15.75" thickBot="1" x14ac:dyDescent="0.25">
      <c r="D46" s="212" t="s">
        <v>108</v>
      </c>
      <c r="E46" s="212" t="s">
        <v>109</v>
      </c>
      <c r="F46" s="212" t="s">
        <v>39</v>
      </c>
      <c r="G46" s="212"/>
    </row>
    <row r="47" spans="1:16" ht="15.75" x14ac:dyDescent="0.25">
      <c r="D47" s="213" t="s">
        <v>28</v>
      </c>
      <c r="E47" s="214">
        <f>+G47/F47</f>
        <v>883.60468140442129</v>
      </c>
      <c r="F47" s="34">
        <v>7.69</v>
      </c>
      <c r="G47" s="215">
        <v>6794.92</v>
      </c>
      <c r="M47" s="212"/>
    </row>
    <row r="48" spans="1:16" x14ac:dyDescent="0.2">
      <c r="D48" s="216" t="s">
        <v>110</v>
      </c>
      <c r="E48" s="217">
        <f>+G48/F48</f>
        <v>197.78216123499143</v>
      </c>
      <c r="F48" s="218">
        <v>17.489999999999998</v>
      </c>
      <c r="G48" s="219">
        <v>3459.21</v>
      </c>
      <c r="M48" s="212"/>
    </row>
    <row r="49" spans="4:14" x14ac:dyDescent="0.2">
      <c r="D49" s="216" t="s">
        <v>111</v>
      </c>
      <c r="E49" s="217">
        <f>+G49/F49</f>
        <v>597.24920331421288</v>
      </c>
      <c r="F49" s="218">
        <v>15.69</v>
      </c>
      <c r="G49" s="219">
        <v>9370.84</v>
      </c>
      <c r="M49" s="212"/>
      <c r="N49" s="212"/>
    </row>
    <row r="50" spans="4:14" x14ac:dyDescent="0.2">
      <c r="D50" s="216" t="s">
        <v>32</v>
      </c>
      <c r="E50" s="217">
        <f>+G50/F50</f>
        <v>0</v>
      </c>
      <c r="F50" s="218">
        <v>1</v>
      </c>
      <c r="G50" s="219"/>
      <c r="M50" s="212"/>
      <c r="N50" s="212"/>
    </row>
    <row r="51" spans="4:14" ht="15.75" thickBot="1" x14ac:dyDescent="0.25">
      <c r="D51" s="220" t="s">
        <v>33</v>
      </c>
      <c r="E51" s="221">
        <f>+G51/F51</f>
        <v>143.82039769082743</v>
      </c>
      <c r="F51" s="222">
        <v>15.59</v>
      </c>
      <c r="G51" s="223">
        <v>2242.16</v>
      </c>
      <c r="M51" s="212"/>
      <c r="N51" s="212"/>
    </row>
    <row r="52" spans="4:14" ht="15.75" thickBot="1" x14ac:dyDescent="0.25">
      <c r="D52" s="224"/>
      <c r="E52" s="225">
        <f>SUM(E47:E51)</f>
        <v>1822.4564436444527</v>
      </c>
      <c r="F52" s="226"/>
      <c r="G52" s="227">
        <f>G47+G48+G49+G51</f>
        <v>21867.13</v>
      </c>
      <c r="K52" s="228">
        <f>G52-E43-F43-K42</f>
        <v>300.15000000000146</v>
      </c>
      <c r="M52" s="212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61" priority="2" operator="equal">
      <formula>"-"</formula>
    </cfRule>
  </conditionalFormatting>
  <pageMargins left="0.7" right="0.7" top="0.75" bottom="0.75" header="0.3" footer="0.3"/>
  <pageSetup paperSize="9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E286417-9C0D-4812-8E39-5934DADAA69B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45718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427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515" t="s">
        <v>28</v>
      </c>
      <c r="B7" s="24">
        <v>4316.3970871600486</v>
      </c>
      <c r="C7" s="25">
        <f>M34/2.0185</f>
        <v>2318.5533812236808</v>
      </c>
      <c r="D7" s="26"/>
      <c r="E7" s="27"/>
      <c r="F7" s="28">
        <f>B7+C7+E7</f>
        <v>6634.9504683837295</v>
      </c>
      <c r="G7" s="29">
        <f>E47</f>
        <v>892.28088426527961</v>
      </c>
      <c r="H7" s="30"/>
      <c r="I7" s="30"/>
      <c r="J7" s="31">
        <f>E47</f>
        <v>892.28088426527961</v>
      </c>
      <c r="K7" s="24">
        <f>F7-J7-H7</f>
        <v>5742.6695841184501</v>
      </c>
      <c r="L7" s="32">
        <v>4400</v>
      </c>
      <c r="M7" s="32">
        <v>5900</v>
      </c>
      <c r="N7" s="33">
        <f>J7</f>
        <v>892.28088426527961</v>
      </c>
      <c r="O7" s="231">
        <f>+F47</f>
        <v>7.69</v>
      </c>
      <c r="P7" s="35">
        <f>N7*O7</f>
        <v>6861.64</v>
      </c>
      <c r="Q7" s="36">
        <f>+M7-K7</f>
        <v>157.33041588154992</v>
      </c>
      <c r="R7" s="37" t="s">
        <v>29</v>
      </c>
    </row>
    <row r="8" spans="1:18" s="37" customFormat="1" ht="33.75" x14ac:dyDescent="0.25">
      <c r="A8" s="515" t="s">
        <v>142</v>
      </c>
      <c r="B8" s="39">
        <v>1402.2178598726657</v>
      </c>
      <c r="C8" s="40">
        <f>M30</f>
        <v>0</v>
      </c>
      <c r="D8" s="41"/>
      <c r="E8" s="42"/>
      <c r="F8" s="43">
        <f>B8+C8+E8</f>
        <v>1402.2178598726657</v>
      </c>
      <c r="G8" s="44">
        <f>E48</f>
        <v>159.76786735277304</v>
      </c>
      <c r="H8" s="42"/>
      <c r="I8" s="42"/>
      <c r="J8" s="45">
        <f>E48</f>
        <v>159.76786735277304</v>
      </c>
      <c r="K8" s="39">
        <f>F8-J8-H8</f>
        <v>1242.4499925198927</v>
      </c>
      <c r="L8" s="32">
        <v>1400</v>
      </c>
      <c r="M8" s="32">
        <v>1240</v>
      </c>
      <c r="N8" s="46">
        <f>J8</f>
        <v>159.76786735277304</v>
      </c>
      <c r="O8" s="231">
        <f>+F48</f>
        <v>17.489999999999998</v>
      </c>
      <c r="P8" s="47">
        <f>N8*O8</f>
        <v>2794.34</v>
      </c>
      <c r="Q8" s="36">
        <f>+M8-K8</f>
        <v>-2.4499925198927031</v>
      </c>
    </row>
    <row r="9" spans="1:18" s="37" customFormat="1" x14ac:dyDescent="0.25">
      <c r="A9" s="516" t="s">
        <v>143</v>
      </c>
      <c r="B9" s="39">
        <v>2552.754670220656</v>
      </c>
      <c r="C9" s="40">
        <f>M31</f>
        <v>0</v>
      </c>
      <c r="D9" s="41"/>
      <c r="E9" s="42"/>
      <c r="F9" s="43">
        <f>B9+C9+E9</f>
        <v>2552.754670220656</v>
      </c>
      <c r="G9" s="44">
        <f>E49</f>
        <v>533.08795411089864</v>
      </c>
      <c r="H9" s="42"/>
      <c r="I9" s="42"/>
      <c r="J9" s="45">
        <f>E49</f>
        <v>533.08795411089864</v>
      </c>
      <c r="K9" s="39">
        <f>F9-J9-H9</f>
        <v>2019.6667161097573</v>
      </c>
      <c r="L9" s="32">
        <v>2560</v>
      </c>
      <c r="M9" s="32">
        <v>2035</v>
      </c>
      <c r="N9" s="46">
        <f>J9</f>
        <v>533.08795411089864</v>
      </c>
      <c r="O9" s="231">
        <f>+F49</f>
        <v>15.69</v>
      </c>
      <c r="P9" s="47">
        <f>N9*O9</f>
        <v>8364.15</v>
      </c>
      <c r="Q9" s="36">
        <f>+M9-K9</f>
        <v>15.333283890242683</v>
      </c>
    </row>
    <row r="10" spans="1:18" s="37" customFormat="1" ht="15.75" thickBot="1" x14ac:dyDescent="0.3">
      <c r="A10" s="517" t="s">
        <v>33</v>
      </c>
      <c r="B10" s="48">
        <v>1016.1811949519114</v>
      </c>
      <c r="C10" s="49">
        <f>M33</f>
        <v>0</v>
      </c>
      <c r="D10" s="50"/>
      <c r="E10" s="51"/>
      <c r="F10" s="52">
        <f>B10+C10+E10</f>
        <v>1016.1811949519114</v>
      </c>
      <c r="G10" s="53">
        <f>E51</f>
        <v>156.57280307889673</v>
      </c>
      <c r="H10" s="51"/>
      <c r="I10" s="51"/>
      <c r="J10" s="54">
        <f>E51</f>
        <v>156.57280307889673</v>
      </c>
      <c r="K10" s="48">
        <f>F10-J10-H10</f>
        <v>859.60839187301463</v>
      </c>
      <c r="L10" s="32">
        <v>1020</v>
      </c>
      <c r="M10" s="32">
        <v>870</v>
      </c>
      <c r="N10" s="55">
        <f>J10</f>
        <v>156.57280307889673</v>
      </c>
      <c r="O10" s="231">
        <f>+F51</f>
        <v>15.59</v>
      </c>
      <c r="P10" s="56">
        <f>N10*O10</f>
        <v>2440.9699999999998</v>
      </c>
      <c r="Q10" s="36">
        <f>+M10-K10</f>
        <v>10.391608126985375</v>
      </c>
    </row>
    <row r="11" spans="1:18" s="37" customFormat="1" ht="15.75" thickBot="1" x14ac:dyDescent="0.3">
      <c r="A11" s="57" t="s">
        <v>34</v>
      </c>
      <c r="B11" s="58">
        <v>9287.5499999999993</v>
      </c>
      <c r="C11" s="59">
        <f>SUM(C7:C10)</f>
        <v>2318.5533812236808</v>
      </c>
      <c r="D11" s="60"/>
      <c r="E11" s="61"/>
      <c r="F11" s="62">
        <f>SUM(F7:F10)</f>
        <v>11606.104193428962</v>
      </c>
      <c r="G11" s="63">
        <f>SUM(G7:G10)</f>
        <v>1741.7095088078479</v>
      </c>
      <c r="H11" s="58"/>
      <c r="I11" s="58"/>
      <c r="J11" s="64">
        <f>SUM(J7:J10)</f>
        <v>1741.7095088078479</v>
      </c>
      <c r="K11" s="58">
        <f>SUM(K7:K10)</f>
        <v>9864.3946846211147</v>
      </c>
      <c r="L11" s="65" t="e">
        <f>L7+L8+L9+#REF!+L10</f>
        <v>#REF!</v>
      </c>
      <c r="M11" s="65" t="e">
        <f>M7+M8+M9+#REF!+M10</f>
        <v>#REF!</v>
      </c>
      <c r="N11" s="66">
        <f>SUM(N7:N10)</f>
        <v>1741.7095088078479</v>
      </c>
      <c r="O11" s="67"/>
      <c r="P11" s="68">
        <f>SUM(P7:P10)</f>
        <v>20461.099999999999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1741.7095088078479</v>
      </c>
      <c r="P13" s="83">
        <f>+P11</f>
        <v>20461.099999999999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2198.77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1267.44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/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/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16994.89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80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>
        <v>4680</v>
      </c>
      <c r="N34" s="141" t="s">
        <v>114</v>
      </c>
      <c r="O34" s="147" t="s">
        <v>115</v>
      </c>
      <c r="P34" s="152" t="s">
        <v>95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5594.2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11400.7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1511.98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686.79</v>
      </c>
      <c r="F42" s="327">
        <v>1267.44</v>
      </c>
      <c r="G42" s="322"/>
      <c r="H42" s="240"/>
      <c r="I42" s="426"/>
      <c r="J42" s="259" t="s">
        <v>34</v>
      </c>
      <c r="K42" s="328">
        <f>SUM(K39:K41)-K41</f>
        <v>16994.900000000001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2198.77</v>
      </c>
      <c r="F43" s="327">
        <f>SUM(F41:F42)</f>
        <v>1267.44</v>
      </c>
      <c r="G43" s="322">
        <f>SUM(E43:F43)</f>
        <v>3466.21</v>
      </c>
      <c r="H43" s="240"/>
      <c r="I43" s="426"/>
      <c r="J43" s="229" t="s">
        <v>106</v>
      </c>
      <c r="K43" s="294">
        <f>P27-K42</f>
        <v>-1.0000000002037268E-2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892.28088426527961</v>
      </c>
      <c r="F47" s="231">
        <v>7.69</v>
      </c>
      <c r="G47" s="349">
        <v>6861.64</v>
      </c>
      <c r="M47" s="37"/>
    </row>
    <row r="48" spans="1:16" x14ac:dyDescent="0.25">
      <c r="D48" s="350" t="s">
        <v>110</v>
      </c>
      <c r="E48" s="351">
        <f>+G48/F48</f>
        <v>159.76786735277304</v>
      </c>
      <c r="F48" s="218">
        <v>17.489999999999998</v>
      </c>
      <c r="G48" s="352">
        <v>2794.34</v>
      </c>
      <c r="M48" s="37"/>
    </row>
    <row r="49" spans="4:14" x14ac:dyDescent="0.25">
      <c r="D49" s="350" t="s">
        <v>111</v>
      </c>
      <c r="E49" s="351">
        <f>+G49/F49</f>
        <v>533.08795411089864</v>
      </c>
      <c r="F49" s="218">
        <v>15.69</v>
      </c>
      <c r="G49" s="352">
        <v>8364.15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156.57280307889673</v>
      </c>
      <c r="F51" s="222">
        <v>15.59</v>
      </c>
      <c r="G51" s="355">
        <v>2440.9699999999998</v>
      </c>
      <c r="M51" s="37"/>
      <c r="N51" s="37"/>
    </row>
    <row r="52" spans="4:14" ht="15.75" thickBot="1" x14ac:dyDescent="0.3">
      <c r="D52" s="356"/>
      <c r="E52" s="357">
        <f>SUM(E47:E51)</f>
        <v>1741.7095088078479</v>
      </c>
      <c r="F52" s="358"/>
      <c r="G52" s="359">
        <f>G47+G48+G49+G51</f>
        <v>20461.099999999999</v>
      </c>
      <c r="K52" s="360">
        <f>G52-E43-F43-K42</f>
        <v>-1.0000000002037268E-2</v>
      </c>
      <c r="M52" s="37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59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18E752E-2C60-47FE-A06F-1A3C5E627542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45719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428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512" t="s">
        <v>28</v>
      </c>
      <c r="B7" s="24">
        <v>5742.6695841184501</v>
      </c>
      <c r="C7" s="25">
        <f>M34/2.0185</f>
        <v>0</v>
      </c>
      <c r="D7" s="26"/>
      <c r="E7" s="27"/>
      <c r="F7" s="28">
        <f>B7+C7+E7</f>
        <v>5742.6695841184501</v>
      </c>
      <c r="G7" s="29">
        <f>E47</f>
        <v>925.36801040312093</v>
      </c>
      <c r="H7" s="30"/>
      <c r="I7" s="30"/>
      <c r="J7" s="31">
        <f>E47</f>
        <v>925.36801040312093</v>
      </c>
      <c r="K7" s="24">
        <f>F7-J7-H7</f>
        <v>4817.3015737153291</v>
      </c>
      <c r="L7" s="32">
        <v>5900</v>
      </c>
      <c r="M7" s="32">
        <v>5000</v>
      </c>
      <c r="N7" s="33">
        <f>J7</f>
        <v>925.36801040312093</v>
      </c>
      <c r="O7" s="231">
        <f>+F47</f>
        <v>7.69</v>
      </c>
      <c r="P7" s="35">
        <f>N7*O7</f>
        <v>7116.08</v>
      </c>
      <c r="Q7" s="36">
        <f>+M7-K7</f>
        <v>182.69842628467086</v>
      </c>
      <c r="R7" s="37" t="s">
        <v>29</v>
      </c>
    </row>
    <row r="8" spans="1:18" s="37" customFormat="1" ht="33.75" x14ac:dyDescent="0.25">
      <c r="A8" s="512" t="s">
        <v>142</v>
      </c>
      <c r="B8" s="39">
        <v>1242.4499925198927</v>
      </c>
      <c r="C8" s="40">
        <f>M30</f>
        <v>0</v>
      </c>
      <c r="D8" s="41"/>
      <c r="E8" s="42"/>
      <c r="F8" s="43">
        <f>B8+C8+E8</f>
        <v>1242.4499925198927</v>
      </c>
      <c r="G8" s="44">
        <f>E48</f>
        <v>194.9605488850772</v>
      </c>
      <c r="H8" s="42"/>
      <c r="I8" s="42"/>
      <c r="J8" s="45">
        <f>E48</f>
        <v>194.9605488850772</v>
      </c>
      <c r="K8" s="39">
        <f>F8-J8-H8</f>
        <v>1047.4894436348154</v>
      </c>
      <c r="L8" s="32">
        <v>1240</v>
      </c>
      <c r="M8" s="32">
        <v>1050</v>
      </c>
      <c r="N8" s="46">
        <f>J8</f>
        <v>194.9605488850772</v>
      </c>
      <c r="O8" s="231">
        <f>+F48</f>
        <v>17.489999999999998</v>
      </c>
      <c r="P8" s="47">
        <f>N8*O8</f>
        <v>3409.86</v>
      </c>
      <c r="Q8" s="36">
        <f>+M8-K8</f>
        <v>2.5105563651845841</v>
      </c>
    </row>
    <row r="9" spans="1:18" s="37" customFormat="1" x14ac:dyDescent="0.25">
      <c r="A9" s="513" t="s">
        <v>143</v>
      </c>
      <c r="B9" s="39">
        <v>2019.6667161097573</v>
      </c>
      <c r="C9" s="40">
        <f>M31</f>
        <v>0</v>
      </c>
      <c r="D9" s="41"/>
      <c r="E9" s="42"/>
      <c r="F9" s="43">
        <f>B9+C9+E9</f>
        <v>2019.6667161097573</v>
      </c>
      <c r="G9" s="44">
        <f>E49</f>
        <v>662.91905672402811</v>
      </c>
      <c r="H9" s="42"/>
      <c r="I9" s="42"/>
      <c r="J9" s="45">
        <f>E49</f>
        <v>662.91905672402811</v>
      </c>
      <c r="K9" s="39">
        <f>F9-J9-H9</f>
        <v>1356.7476593857291</v>
      </c>
      <c r="L9" s="32">
        <v>2035</v>
      </c>
      <c r="M9" s="32">
        <v>1340</v>
      </c>
      <c r="N9" s="46">
        <f>J9</f>
        <v>662.91905672402811</v>
      </c>
      <c r="O9" s="231">
        <f>+F49</f>
        <v>15.69</v>
      </c>
      <c r="P9" s="47">
        <f>N9*O9</f>
        <v>10401.200000000001</v>
      </c>
      <c r="Q9" s="36">
        <f>+M9-K9</f>
        <v>-16.747659385729094</v>
      </c>
    </row>
    <row r="10" spans="1:18" s="37" customFormat="1" ht="15.75" thickBot="1" x14ac:dyDescent="0.3">
      <c r="A10" s="514" t="s">
        <v>33</v>
      </c>
      <c r="B10" s="48">
        <v>859.60839187301463</v>
      </c>
      <c r="C10" s="49">
        <f>M33</f>
        <v>0</v>
      </c>
      <c r="D10" s="50"/>
      <c r="E10" s="51"/>
      <c r="F10" s="52">
        <f>B10+C10+E10</f>
        <v>859.60839187301463</v>
      </c>
      <c r="G10" s="53">
        <f>E51</f>
        <v>125.903784477229</v>
      </c>
      <c r="H10" s="51"/>
      <c r="I10" s="51"/>
      <c r="J10" s="54">
        <f>E51</f>
        <v>125.903784477229</v>
      </c>
      <c r="K10" s="48">
        <f>F10-J10-H10</f>
        <v>733.70460739578562</v>
      </c>
      <c r="L10" s="32">
        <v>870</v>
      </c>
      <c r="M10" s="32">
        <v>730</v>
      </c>
      <c r="N10" s="55">
        <f>J10</f>
        <v>125.903784477229</v>
      </c>
      <c r="O10" s="231">
        <f>+F51</f>
        <v>15.59</v>
      </c>
      <c r="P10" s="56">
        <f>N10*O10</f>
        <v>1962.84</v>
      </c>
      <c r="Q10" s="36">
        <f>+M10-K10</f>
        <v>-3.7046073957856152</v>
      </c>
    </row>
    <row r="11" spans="1:18" s="37" customFormat="1" ht="15.75" thickBot="1" x14ac:dyDescent="0.3">
      <c r="A11" s="57" t="s">
        <v>34</v>
      </c>
      <c r="B11" s="58">
        <v>9864.39</v>
      </c>
      <c r="C11" s="59">
        <f>SUM(C7:C10)</f>
        <v>0</v>
      </c>
      <c r="D11" s="60"/>
      <c r="E11" s="61"/>
      <c r="F11" s="62">
        <f>SUM(F7:F10)</f>
        <v>9864.3946846211147</v>
      </c>
      <c r="G11" s="63">
        <f>SUM(G7:G10)</f>
        <v>1909.1514004894555</v>
      </c>
      <c r="H11" s="58"/>
      <c r="I11" s="58"/>
      <c r="J11" s="64">
        <f>SUM(J7:J10)</f>
        <v>1909.1514004894555</v>
      </c>
      <c r="K11" s="58">
        <f>SUM(K7:K10)</f>
        <v>7955.2432841316586</v>
      </c>
      <c r="L11" s="65" t="e">
        <f>L7+L8+L9+#REF!+L10</f>
        <v>#REF!</v>
      </c>
      <c r="M11" s="65" t="e">
        <f>M7+M8+M9+#REF!+M10</f>
        <v>#REF!</v>
      </c>
      <c r="N11" s="66">
        <f>SUM(N7:N10)</f>
        <v>1909.1514004894555</v>
      </c>
      <c r="O11" s="67"/>
      <c r="P11" s="68">
        <f>SUM(P7:P10)</f>
        <v>22889.98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1909.1514004894555</v>
      </c>
      <c r="P13" s="83">
        <f>+P11</f>
        <v>22889.98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3830.3199999999997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1968.78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/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/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17090.88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80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95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5147.3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11943.5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2452.4299999999998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1377.89</v>
      </c>
      <c r="F42" s="327">
        <v>1968.78</v>
      </c>
      <c r="G42" s="322"/>
      <c r="H42" s="240"/>
      <c r="I42" s="426"/>
      <c r="J42" s="259" t="s">
        <v>34</v>
      </c>
      <c r="K42" s="328">
        <f>SUM(K39:K41)-K41</f>
        <v>17090.8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3830.3199999999997</v>
      </c>
      <c r="F43" s="327">
        <f>SUM(F41:F42)</f>
        <v>1968.78</v>
      </c>
      <c r="G43" s="322">
        <f>SUM(E43:F43)</f>
        <v>5799.0999999999995</v>
      </c>
      <c r="H43" s="240"/>
      <c r="I43" s="426"/>
      <c r="J43" s="229" t="s">
        <v>106</v>
      </c>
      <c r="K43" s="294">
        <f>P27-K42</f>
        <v>8.000000000174623E-2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925.36801040312093</v>
      </c>
      <c r="F47" s="231">
        <v>7.69</v>
      </c>
      <c r="G47" s="349">
        <v>7116.08</v>
      </c>
      <c r="M47" s="37"/>
    </row>
    <row r="48" spans="1:16" x14ac:dyDescent="0.25">
      <c r="D48" s="350" t="s">
        <v>110</v>
      </c>
      <c r="E48" s="351">
        <f>+G48/F48</f>
        <v>194.9605488850772</v>
      </c>
      <c r="F48" s="218">
        <v>17.489999999999998</v>
      </c>
      <c r="G48" s="352">
        <v>3409.86</v>
      </c>
      <c r="M48" s="37"/>
    </row>
    <row r="49" spans="4:14" x14ac:dyDescent="0.25">
      <c r="D49" s="350" t="s">
        <v>111</v>
      </c>
      <c r="E49" s="351">
        <f>+G49/F49</f>
        <v>662.91905672402811</v>
      </c>
      <c r="F49" s="218">
        <v>15.69</v>
      </c>
      <c r="G49" s="352">
        <v>10401.200000000001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125.903784477229</v>
      </c>
      <c r="F51" s="222">
        <v>15.59</v>
      </c>
      <c r="G51" s="355">
        <v>1962.84</v>
      </c>
      <c r="M51" s="37"/>
      <c r="N51" s="37"/>
    </row>
    <row r="52" spans="4:14" ht="15.75" thickBot="1" x14ac:dyDescent="0.3">
      <c r="D52" s="356"/>
      <c r="E52" s="357">
        <f>SUM(E47:E51)</f>
        <v>1909.1514004894555</v>
      </c>
      <c r="F52" s="358"/>
      <c r="G52" s="359">
        <f>G47+G48+G49+G51</f>
        <v>22889.98</v>
      </c>
      <c r="K52" s="360">
        <f>G52-E43-F43-K42</f>
        <v>8.000000000174623E-2</v>
      </c>
      <c r="M52" s="37"/>
    </row>
  </sheetData>
  <mergeCells count="53"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35:B35"/>
    <mergeCell ref="A36:B36"/>
    <mergeCell ref="A37:D37"/>
    <mergeCell ref="A38:D38"/>
    <mergeCell ref="J38:L38"/>
    <mergeCell ref="A44:C44"/>
    <mergeCell ref="M39:N39"/>
    <mergeCell ref="O39:P39"/>
    <mergeCell ref="A40:D40"/>
    <mergeCell ref="A41:D41"/>
    <mergeCell ref="A42:D42"/>
    <mergeCell ref="A43:D43"/>
    <mergeCell ref="A39:D39"/>
  </mergeCells>
  <conditionalFormatting sqref="Q7:Q11">
    <cfRule type="cellIs" dxfId="57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DF85AD0-7896-4E8D-823B-3F688B6224FB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I1" sqref="I1:I1048576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45720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429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509" t="s">
        <v>28</v>
      </c>
      <c r="B7" s="24">
        <v>4817.3015737153291</v>
      </c>
      <c r="C7" s="25">
        <f>M34/2.0185</f>
        <v>0</v>
      </c>
      <c r="D7" s="26"/>
      <c r="E7" s="27"/>
      <c r="F7" s="28">
        <f>B7+C7+E7</f>
        <v>4817.3015737153291</v>
      </c>
      <c r="G7" s="29">
        <f>E47</f>
        <v>756.92717815344611</v>
      </c>
      <c r="H7" s="30"/>
      <c r="I7" s="30"/>
      <c r="J7" s="31">
        <f>E47</f>
        <v>756.92717815344611</v>
      </c>
      <c r="K7" s="24">
        <f>F7-J7-H7</f>
        <v>4060.3743955618829</v>
      </c>
      <c r="L7" s="32">
        <v>5000</v>
      </c>
      <c r="M7" s="32">
        <v>4200</v>
      </c>
      <c r="N7" s="33">
        <f>J7</f>
        <v>756.92717815344611</v>
      </c>
      <c r="O7" s="231">
        <f>+F47</f>
        <v>7.69</v>
      </c>
      <c r="P7" s="35">
        <f>N7*O7</f>
        <v>5820.77</v>
      </c>
      <c r="Q7" s="36">
        <f>+M7-K7</f>
        <v>139.62560443811708</v>
      </c>
      <c r="R7" s="37" t="s">
        <v>29</v>
      </c>
    </row>
    <row r="8" spans="1:18" s="37" customFormat="1" ht="33.75" x14ac:dyDescent="0.25">
      <c r="A8" s="509" t="s">
        <v>142</v>
      </c>
      <c r="B8" s="39">
        <v>1047.4894436348154</v>
      </c>
      <c r="C8" s="40">
        <f>M30</f>
        <v>0</v>
      </c>
      <c r="D8" s="41"/>
      <c r="E8" s="42"/>
      <c r="F8" s="43">
        <f>B8+C8+E8</f>
        <v>1047.4894436348154</v>
      </c>
      <c r="G8" s="44">
        <f>E48</f>
        <v>180.40937678673529</v>
      </c>
      <c r="H8" s="42"/>
      <c r="I8" s="42"/>
      <c r="J8" s="45">
        <f>E48</f>
        <v>180.40937678673529</v>
      </c>
      <c r="K8" s="39">
        <f>F8-J8-H8</f>
        <v>867.08006684808015</v>
      </c>
      <c r="L8" s="32">
        <v>1050</v>
      </c>
      <c r="M8" s="32">
        <v>860</v>
      </c>
      <c r="N8" s="46">
        <f>J8</f>
        <v>180.40937678673529</v>
      </c>
      <c r="O8" s="231">
        <f>+F48</f>
        <v>17.489999999999998</v>
      </c>
      <c r="P8" s="47">
        <f>N8*O8</f>
        <v>3155.36</v>
      </c>
      <c r="Q8" s="36">
        <f>+M8-K8</f>
        <v>-7.0800668480801505</v>
      </c>
    </row>
    <row r="9" spans="1:18" s="37" customFormat="1" x14ac:dyDescent="0.25">
      <c r="A9" s="510" t="s">
        <v>143</v>
      </c>
      <c r="B9" s="39">
        <v>1356.7476593857291</v>
      </c>
      <c r="C9" s="40">
        <f>M31</f>
        <v>1150</v>
      </c>
      <c r="D9" s="41"/>
      <c r="E9" s="42"/>
      <c r="F9" s="43">
        <f>B9+C9+E9</f>
        <v>2506.7476593857291</v>
      </c>
      <c r="G9" s="44">
        <f>E49</f>
        <v>536.66029318036976</v>
      </c>
      <c r="H9" s="42"/>
      <c r="I9" s="42"/>
      <c r="J9" s="45">
        <f>E49</f>
        <v>536.66029318036976</v>
      </c>
      <c r="K9" s="39">
        <f>F9-J9-H9</f>
        <v>1970.0873662053593</v>
      </c>
      <c r="L9" s="32">
        <v>1340</v>
      </c>
      <c r="M9" s="32">
        <v>1950</v>
      </c>
      <c r="N9" s="46">
        <f>J9</f>
        <v>536.66029318036976</v>
      </c>
      <c r="O9" s="231">
        <f>+F49</f>
        <v>15.69</v>
      </c>
      <c r="P9" s="47">
        <f>N9*O9</f>
        <v>8420.2000000000007</v>
      </c>
      <c r="Q9" s="36">
        <f>+M9-K9</f>
        <v>-20.087366205359331</v>
      </c>
    </row>
    <row r="10" spans="1:18" s="37" customFormat="1" ht="15.75" thickBot="1" x14ac:dyDescent="0.3">
      <c r="A10" s="511" t="s">
        <v>33</v>
      </c>
      <c r="B10" s="48">
        <v>733.70460739578562</v>
      </c>
      <c r="C10" s="49">
        <f>M33</f>
        <v>2850</v>
      </c>
      <c r="D10" s="50"/>
      <c r="E10" s="51"/>
      <c r="F10" s="52">
        <f>B10+C10+E10</f>
        <v>3583.7046073957854</v>
      </c>
      <c r="G10" s="53">
        <f>E51</f>
        <v>199.39512508017961</v>
      </c>
      <c r="H10" s="51"/>
      <c r="I10" s="51"/>
      <c r="J10" s="54">
        <f>E51</f>
        <v>199.39512508017961</v>
      </c>
      <c r="K10" s="48">
        <f>F10-J10-H10</f>
        <v>3384.3094823156057</v>
      </c>
      <c r="L10" s="32">
        <v>730</v>
      </c>
      <c r="M10" s="32">
        <v>3380</v>
      </c>
      <c r="N10" s="55">
        <f>J10</f>
        <v>199.39512508017961</v>
      </c>
      <c r="O10" s="231">
        <f>+F51</f>
        <v>15.59</v>
      </c>
      <c r="P10" s="56">
        <f>N10*O10</f>
        <v>3108.57</v>
      </c>
      <c r="Q10" s="36">
        <f>+M10-K10</f>
        <v>-4.3094823156056918</v>
      </c>
    </row>
    <row r="11" spans="1:18" s="37" customFormat="1" ht="15.75" thickBot="1" x14ac:dyDescent="0.3">
      <c r="A11" s="57" t="s">
        <v>34</v>
      </c>
      <c r="B11" s="58">
        <v>7955.24</v>
      </c>
      <c r="C11" s="59">
        <f>SUM(C7:C10)</f>
        <v>4000</v>
      </c>
      <c r="D11" s="60"/>
      <c r="E11" s="61"/>
      <c r="F11" s="62">
        <f>SUM(F7:F10)</f>
        <v>11955.243284131659</v>
      </c>
      <c r="G11" s="63">
        <f>SUM(G7:G10)</f>
        <v>1673.3919732007307</v>
      </c>
      <c r="H11" s="58"/>
      <c r="I11" s="58"/>
      <c r="J11" s="64">
        <f>SUM(J7:J10)</f>
        <v>1673.3919732007307</v>
      </c>
      <c r="K11" s="58">
        <f>SUM(K7:K10)</f>
        <v>10281.851310930928</v>
      </c>
      <c r="L11" s="65" t="e">
        <f>L7+L8+L9+#REF!+L10</f>
        <v>#REF!</v>
      </c>
      <c r="M11" s="65" t="e">
        <f>M7+M8+M9+#REF!+M10</f>
        <v>#REF!</v>
      </c>
      <c r="N11" s="66">
        <f>SUM(N7:N10)</f>
        <v>1673.3919732007307</v>
      </c>
      <c r="O11" s="67"/>
      <c r="P11" s="68">
        <f>SUM(P7:P10)</f>
        <v>20504.900000000001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1673.3919732007307</v>
      </c>
      <c r="P13" s="83">
        <f>+P11</f>
        <v>20504.900000000001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5732.8099999999995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1634.27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300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12837.820000000002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>
        <v>1150</v>
      </c>
      <c r="N31" s="141" t="s">
        <v>117</v>
      </c>
      <c r="O31" s="141"/>
      <c r="P31" s="141" t="s">
        <v>118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>
        <v>2850</v>
      </c>
      <c r="N33" s="149" t="s">
        <v>116</v>
      </c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95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4183.5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8654.2999999999993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3626.52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2106.29</v>
      </c>
      <c r="F42" s="327">
        <v>1634.27</v>
      </c>
      <c r="G42" s="322"/>
      <c r="H42" s="240"/>
      <c r="I42" s="426"/>
      <c r="J42" s="259" t="s">
        <v>34</v>
      </c>
      <c r="K42" s="328">
        <f>SUM(K39:K41)-K41</f>
        <v>12837.8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5732.8099999999995</v>
      </c>
      <c r="F43" s="327">
        <f>SUM(F41:F42)</f>
        <v>1634.27</v>
      </c>
      <c r="G43" s="322">
        <f>SUM(E43:F43)</f>
        <v>7367.08</v>
      </c>
      <c r="H43" s="240"/>
      <c r="I43" s="426"/>
      <c r="J43" s="229" t="s">
        <v>106</v>
      </c>
      <c r="K43" s="294">
        <f>P27-K42</f>
        <v>2.0000000002255547E-2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756.92717815344611</v>
      </c>
      <c r="F47" s="231">
        <v>7.69</v>
      </c>
      <c r="G47" s="349">
        <v>5820.77</v>
      </c>
      <c r="M47" s="37"/>
    </row>
    <row r="48" spans="1:16" x14ac:dyDescent="0.25">
      <c r="D48" s="350" t="s">
        <v>110</v>
      </c>
      <c r="E48" s="351">
        <f>+G48/F48</f>
        <v>180.40937678673529</v>
      </c>
      <c r="F48" s="218">
        <v>17.489999999999998</v>
      </c>
      <c r="G48" s="352">
        <v>3155.36</v>
      </c>
      <c r="M48" s="37"/>
    </row>
    <row r="49" spans="4:14" x14ac:dyDescent="0.25">
      <c r="D49" s="350" t="s">
        <v>111</v>
      </c>
      <c r="E49" s="351">
        <f>+G49/F49</f>
        <v>536.66029318036976</v>
      </c>
      <c r="F49" s="218">
        <v>15.69</v>
      </c>
      <c r="G49" s="352">
        <v>8420.2000000000007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199.39512508017961</v>
      </c>
      <c r="F51" s="222">
        <v>15.59</v>
      </c>
      <c r="G51" s="355">
        <v>3108.57</v>
      </c>
      <c r="M51" s="37"/>
      <c r="N51" s="37"/>
    </row>
    <row r="52" spans="4:14" ht="15.75" thickBot="1" x14ac:dyDescent="0.3">
      <c r="D52" s="356"/>
      <c r="E52" s="357">
        <f>SUM(E47:E51)</f>
        <v>1673.3919732007307</v>
      </c>
      <c r="F52" s="358"/>
      <c r="G52" s="359">
        <f>G47+G48+G49+G51</f>
        <v>20504.900000000001</v>
      </c>
      <c r="K52" s="360">
        <f>G52-E43-F43-K42</f>
        <v>300.02000000000226</v>
      </c>
      <c r="M52" s="37"/>
    </row>
  </sheetData>
  <mergeCells count="53"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35:B35"/>
    <mergeCell ref="A36:B36"/>
    <mergeCell ref="A37:D37"/>
    <mergeCell ref="A38:D38"/>
    <mergeCell ref="J38:L38"/>
    <mergeCell ref="A44:C44"/>
    <mergeCell ref="M39:N39"/>
    <mergeCell ref="O39:P39"/>
    <mergeCell ref="A40:D40"/>
    <mergeCell ref="A41:D41"/>
    <mergeCell ref="A42:D42"/>
    <mergeCell ref="A43:D43"/>
    <mergeCell ref="A39:D39"/>
  </mergeCells>
  <conditionalFormatting sqref="Q7:Q11">
    <cfRule type="cellIs" dxfId="55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51934C9-6BFA-4CDD-91B0-5722A237C4A5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I1" sqref="I1:I1048576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45721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430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506" t="s">
        <v>28</v>
      </c>
      <c r="B7" s="24">
        <v>4060.3743955618829</v>
      </c>
      <c r="C7" s="25">
        <f>M34/2.0185</f>
        <v>0</v>
      </c>
      <c r="D7" s="26"/>
      <c r="E7" s="27"/>
      <c r="F7" s="28">
        <f>B7+C7+E7</f>
        <v>4060.3743955618829</v>
      </c>
      <c r="G7" s="29">
        <f>E47</f>
        <v>776.85305591677502</v>
      </c>
      <c r="H7" s="30"/>
      <c r="I7" s="30"/>
      <c r="J7" s="31">
        <f>E47</f>
        <v>776.85305591677502</v>
      </c>
      <c r="K7" s="24">
        <f>F7-J7-H7</f>
        <v>3283.5213396451081</v>
      </c>
      <c r="L7" s="32">
        <v>4200</v>
      </c>
      <c r="M7" s="32">
        <v>3450</v>
      </c>
      <c r="N7" s="33">
        <f>J7</f>
        <v>776.85305591677502</v>
      </c>
      <c r="O7" s="231">
        <f>+F47</f>
        <v>7.69</v>
      </c>
      <c r="P7" s="35">
        <f>N7*O7</f>
        <v>5974</v>
      </c>
      <c r="Q7" s="36">
        <f>+M7-K7</f>
        <v>166.47866035489187</v>
      </c>
      <c r="R7" s="37" t="s">
        <v>29</v>
      </c>
    </row>
    <row r="8" spans="1:18" s="37" customFormat="1" ht="33.75" x14ac:dyDescent="0.25">
      <c r="A8" s="506" t="s">
        <v>142</v>
      </c>
      <c r="B8" s="39">
        <v>867.08006684808015</v>
      </c>
      <c r="C8" s="40">
        <f>M30</f>
        <v>0</v>
      </c>
      <c r="D8" s="41"/>
      <c r="E8" s="42"/>
      <c r="F8" s="43">
        <f>B8+C8+E8</f>
        <v>867.08006684808015</v>
      </c>
      <c r="G8" s="44">
        <f>E48</f>
        <v>188.08976558033163</v>
      </c>
      <c r="H8" s="42"/>
      <c r="I8" s="42"/>
      <c r="J8" s="45">
        <f>E48</f>
        <v>188.08976558033163</v>
      </c>
      <c r="K8" s="39">
        <f>F8-J8-H8</f>
        <v>678.99030126774846</v>
      </c>
      <c r="L8" s="32">
        <v>860</v>
      </c>
      <c r="M8" s="32">
        <v>670</v>
      </c>
      <c r="N8" s="46">
        <f>J8</f>
        <v>188.08976558033163</v>
      </c>
      <c r="O8" s="231">
        <f>+F48</f>
        <v>17.489999999999998</v>
      </c>
      <c r="P8" s="47">
        <f>N8*O8</f>
        <v>3289.69</v>
      </c>
      <c r="Q8" s="36">
        <f>+M8-K8</f>
        <v>-8.9903012677484639</v>
      </c>
    </row>
    <row r="9" spans="1:18" s="37" customFormat="1" x14ac:dyDescent="0.25">
      <c r="A9" s="507" t="s">
        <v>143</v>
      </c>
      <c r="B9" s="39">
        <v>1970.0873662053593</v>
      </c>
      <c r="C9" s="40">
        <f>M31</f>
        <v>0</v>
      </c>
      <c r="D9" s="41"/>
      <c r="E9" s="42"/>
      <c r="F9" s="43">
        <f>B9+C9+E9</f>
        <v>1970.0873662053593</v>
      </c>
      <c r="G9" s="44">
        <f>E49</f>
        <v>598.73358827278514</v>
      </c>
      <c r="H9" s="42"/>
      <c r="I9" s="42"/>
      <c r="J9" s="45">
        <f>E49</f>
        <v>598.73358827278514</v>
      </c>
      <c r="K9" s="39">
        <f>F9-J9-H9</f>
        <v>1371.3537779325743</v>
      </c>
      <c r="L9" s="32">
        <v>1950</v>
      </c>
      <c r="M9" s="32">
        <v>1350</v>
      </c>
      <c r="N9" s="46">
        <f>J9</f>
        <v>598.73358827278514</v>
      </c>
      <c r="O9" s="231">
        <f>+F49</f>
        <v>15.69</v>
      </c>
      <c r="P9" s="47">
        <f>N9*O9</f>
        <v>9394.1299999999992</v>
      </c>
      <c r="Q9" s="36">
        <f>+M9-K9</f>
        <v>-21.353777932574303</v>
      </c>
    </row>
    <row r="10" spans="1:18" s="37" customFormat="1" ht="15.75" thickBot="1" x14ac:dyDescent="0.3">
      <c r="A10" s="508" t="s">
        <v>33</v>
      </c>
      <c r="B10" s="48">
        <v>3384.3094823156057</v>
      </c>
      <c r="C10" s="49">
        <f>M33</f>
        <v>0</v>
      </c>
      <c r="D10" s="50"/>
      <c r="E10" s="51"/>
      <c r="F10" s="52">
        <f>B10+C10+E10</f>
        <v>3384.3094823156057</v>
      </c>
      <c r="G10" s="53">
        <f>E51</f>
        <v>215.90186016677356</v>
      </c>
      <c r="H10" s="51"/>
      <c r="I10" s="51"/>
      <c r="J10" s="54">
        <f>E51</f>
        <v>215.90186016677356</v>
      </c>
      <c r="K10" s="48">
        <f>F10-J10-H10</f>
        <v>3168.4076221488322</v>
      </c>
      <c r="L10" s="32">
        <v>3380</v>
      </c>
      <c r="M10" s="32">
        <v>3170</v>
      </c>
      <c r="N10" s="55">
        <f>J10</f>
        <v>215.90186016677356</v>
      </c>
      <c r="O10" s="231">
        <f>+F51</f>
        <v>15.59</v>
      </c>
      <c r="P10" s="56">
        <f>N10*O10</f>
        <v>3365.91</v>
      </c>
      <c r="Q10" s="36">
        <f>+M10-K10</f>
        <v>1.5923778511678393</v>
      </c>
    </row>
    <row r="11" spans="1:18" s="37" customFormat="1" ht="15.75" thickBot="1" x14ac:dyDescent="0.3">
      <c r="A11" s="57" t="s">
        <v>34</v>
      </c>
      <c r="B11" s="58">
        <f>B7+B8+B9+B10</f>
        <v>10281.851310930928</v>
      </c>
      <c r="C11" s="59">
        <f>SUM(C7:C10)</f>
        <v>0</v>
      </c>
      <c r="D11" s="60"/>
      <c r="E11" s="61"/>
      <c r="F11" s="62">
        <f>SUM(F7:F10)</f>
        <v>10281.851310930928</v>
      </c>
      <c r="G11" s="63">
        <f>SUM(G7:G10)</f>
        <v>1779.5782699366655</v>
      </c>
      <c r="H11" s="58"/>
      <c r="I11" s="58"/>
      <c r="J11" s="64">
        <f>SUM(J7:J10)</f>
        <v>1779.5782699366655</v>
      </c>
      <c r="K11" s="58">
        <f>SUM(K7:K10)</f>
        <v>8502.2730409942633</v>
      </c>
      <c r="L11" s="65" t="e">
        <f>L7+L8+L9+#REF!+L10</f>
        <v>#REF!</v>
      </c>
      <c r="M11" s="65" t="e">
        <f>M7+M8+M9+#REF!+M10</f>
        <v>#REF!</v>
      </c>
      <c r="N11" s="66">
        <f>SUM(N7:N10)</f>
        <v>1779.5782699366655</v>
      </c>
      <c r="O11" s="67"/>
      <c r="P11" s="68">
        <f>SUM(P7:P10)</f>
        <v>22023.73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1779.5782699366655</v>
      </c>
      <c r="P13" s="83">
        <f>+P11</f>
        <v>22023.73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5079.16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2321.9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/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14622.67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118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95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3652.1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10970.5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2765.14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2314.02</v>
      </c>
      <c r="F42" s="327">
        <v>2321.9</v>
      </c>
      <c r="G42" s="322"/>
      <c r="H42" s="240"/>
      <c r="I42" s="426"/>
      <c r="J42" s="259" t="s">
        <v>34</v>
      </c>
      <c r="K42" s="328">
        <f>SUM(K39:K41)-K41</f>
        <v>14622.6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5079.16</v>
      </c>
      <c r="F43" s="327">
        <f>SUM(F41:F42)</f>
        <v>2321.9</v>
      </c>
      <c r="G43" s="322">
        <f>SUM(E43:F43)</f>
        <v>7401.0599999999995</v>
      </c>
      <c r="H43" s="240"/>
      <c r="I43" s="426"/>
      <c r="J43" s="229" t="s">
        <v>106</v>
      </c>
      <c r="K43" s="294">
        <f>P27-K42</f>
        <v>6.9999999999708962E-2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776.85305591677502</v>
      </c>
      <c r="F47" s="231">
        <v>7.69</v>
      </c>
      <c r="G47" s="349">
        <v>5974</v>
      </c>
      <c r="M47" s="37"/>
    </row>
    <row r="48" spans="1:16" x14ac:dyDescent="0.25">
      <c r="D48" s="350" t="s">
        <v>110</v>
      </c>
      <c r="E48" s="351">
        <f>+G48/F48</f>
        <v>188.08976558033163</v>
      </c>
      <c r="F48" s="218">
        <v>17.489999999999998</v>
      </c>
      <c r="G48" s="352">
        <v>3289.69</v>
      </c>
      <c r="M48" s="37"/>
    </row>
    <row r="49" spans="4:14" x14ac:dyDescent="0.25">
      <c r="D49" s="350" t="s">
        <v>111</v>
      </c>
      <c r="E49" s="351">
        <f>+G49/F49</f>
        <v>598.73358827278514</v>
      </c>
      <c r="F49" s="218">
        <v>15.69</v>
      </c>
      <c r="G49" s="352">
        <v>9394.1299999999992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215.90186016677356</v>
      </c>
      <c r="F51" s="222">
        <v>15.59</v>
      </c>
      <c r="G51" s="355">
        <v>3365.91</v>
      </c>
      <c r="M51" s="37"/>
      <c r="N51" s="37"/>
    </row>
    <row r="52" spans="4:14" ht="15.75" thickBot="1" x14ac:dyDescent="0.3">
      <c r="D52" s="356"/>
      <c r="E52" s="357">
        <f>SUM(E47:E51)</f>
        <v>1779.5782699366655</v>
      </c>
      <c r="F52" s="358"/>
      <c r="G52" s="359">
        <f>G47+G48+G49+G51</f>
        <v>22023.73</v>
      </c>
      <c r="K52" s="360">
        <f>G52-E43-F43-K42</f>
        <v>6.9999999999708962E-2</v>
      </c>
      <c r="M52" s="37"/>
    </row>
  </sheetData>
  <mergeCells count="53"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35:B35"/>
    <mergeCell ref="A36:B36"/>
    <mergeCell ref="A37:D37"/>
    <mergeCell ref="A38:D38"/>
    <mergeCell ref="J38:L38"/>
    <mergeCell ref="A44:C44"/>
    <mergeCell ref="M39:N39"/>
    <mergeCell ref="O39:P39"/>
    <mergeCell ref="A40:D40"/>
    <mergeCell ref="A41:D41"/>
    <mergeCell ref="A42:D42"/>
    <mergeCell ref="A43:D43"/>
    <mergeCell ref="A39:D39"/>
  </mergeCells>
  <conditionalFormatting sqref="Q7:Q11">
    <cfRule type="cellIs" dxfId="53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1534B85-992F-49CA-8806-489C8DDE271F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I1" sqref="I1:I1048576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45722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431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503" t="s">
        <v>28</v>
      </c>
      <c r="B7" s="24">
        <v>3283.5213396451081</v>
      </c>
      <c r="C7" s="25">
        <f>M34/2.0185</f>
        <v>0</v>
      </c>
      <c r="D7" s="26"/>
      <c r="E7" s="27"/>
      <c r="F7" s="28">
        <f>B7+C7+E7</f>
        <v>3283.5213396451081</v>
      </c>
      <c r="G7" s="29">
        <f>E47</f>
        <v>846.10663198959685</v>
      </c>
      <c r="H7" s="30"/>
      <c r="I7" s="30"/>
      <c r="J7" s="31">
        <f>E47</f>
        <v>846.10663198959685</v>
      </c>
      <c r="K7" s="24">
        <f>F7-J7-H7</f>
        <v>2437.4147076555114</v>
      </c>
      <c r="L7" s="32">
        <v>3450</v>
      </c>
      <c r="M7" s="32">
        <v>2600</v>
      </c>
      <c r="N7" s="33">
        <f>J7</f>
        <v>846.10663198959685</v>
      </c>
      <c r="O7" s="231">
        <f>+F47</f>
        <v>7.69</v>
      </c>
      <c r="P7" s="35">
        <f>N7*O7</f>
        <v>6506.56</v>
      </c>
      <c r="Q7" s="36">
        <f>+M7-K7</f>
        <v>162.58529234448861</v>
      </c>
      <c r="R7" s="37" t="s">
        <v>29</v>
      </c>
    </row>
    <row r="8" spans="1:18" s="37" customFormat="1" ht="33.75" x14ac:dyDescent="0.25">
      <c r="A8" s="503" t="s">
        <v>142</v>
      </c>
      <c r="B8" s="39">
        <v>678.99030126774846</v>
      </c>
      <c r="C8" s="40">
        <f>M30</f>
        <v>0</v>
      </c>
      <c r="D8" s="41"/>
      <c r="E8" s="42"/>
      <c r="F8" s="43">
        <f>B8+C8+E8</f>
        <v>678.99030126774846</v>
      </c>
      <c r="G8" s="44">
        <f>E48</f>
        <v>124.1189251000572</v>
      </c>
      <c r="H8" s="42"/>
      <c r="I8" s="42"/>
      <c r="J8" s="45">
        <f>E48</f>
        <v>124.1189251000572</v>
      </c>
      <c r="K8" s="39">
        <f>F8-J8-H8</f>
        <v>554.87137616769132</v>
      </c>
      <c r="L8" s="32">
        <v>670</v>
      </c>
      <c r="M8" s="32">
        <v>540</v>
      </c>
      <c r="N8" s="46">
        <f>J8</f>
        <v>124.1189251000572</v>
      </c>
      <c r="O8" s="231">
        <f>+F48</f>
        <v>17.489999999999998</v>
      </c>
      <c r="P8" s="47">
        <f>N8*O8</f>
        <v>2170.84</v>
      </c>
      <c r="Q8" s="36">
        <f>+M8-K8</f>
        <v>-14.871376167691324</v>
      </c>
    </row>
    <row r="9" spans="1:18" s="37" customFormat="1" x14ac:dyDescent="0.25">
      <c r="A9" s="504" t="s">
        <v>143</v>
      </c>
      <c r="B9" s="39">
        <v>1371.3537779325743</v>
      </c>
      <c r="C9" s="40">
        <f>M31</f>
        <v>0</v>
      </c>
      <c r="D9" s="41"/>
      <c r="E9" s="42"/>
      <c r="F9" s="43">
        <f>B9+C9+E9</f>
        <v>1371.3537779325743</v>
      </c>
      <c r="G9" s="44">
        <f>E49</f>
        <v>553.14595283620145</v>
      </c>
      <c r="H9" s="42"/>
      <c r="I9" s="42"/>
      <c r="J9" s="45">
        <f>E49</f>
        <v>553.14595283620145</v>
      </c>
      <c r="K9" s="39">
        <f>F9-J9-H9</f>
        <v>818.20782509637286</v>
      </c>
      <c r="L9" s="32">
        <v>1350</v>
      </c>
      <c r="M9" s="32">
        <v>800</v>
      </c>
      <c r="N9" s="46">
        <f>J9</f>
        <v>553.14595283620145</v>
      </c>
      <c r="O9" s="231">
        <f>+F49</f>
        <v>15.69</v>
      </c>
      <c r="P9" s="47">
        <f>N9*O9</f>
        <v>8678.86</v>
      </c>
      <c r="Q9" s="36">
        <f>+M9-K9</f>
        <v>-18.207825096372858</v>
      </c>
    </row>
    <row r="10" spans="1:18" s="37" customFormat="1" ht="15.75" thickBot="1" x14ac:dyDescent="0.3">
      <c r="A10" s="505" t="s">
        <v>33</v>
      </c>
      <c r="B10" s="48">
        <v>3168.4076221488322</v>
      </c>
      <c r="C10" s="49">
        <f>M33</f>
        <v>0</v>
      </c>
      <c r="D10" s="50"/>
      <c r="E10" s="51"/>
      <c r="F10" s="52">
        <f>B10+C10+E10</f>
        <v>3168.4076221488322</v>
      </c>
      <c r="G10" s="53">
        <f>E51</f>
        <v>157.94804361770366</v>
      </c>
      <c r="H10" s="51"/>
      <c r="I10" s="51"/>
      <c r="J10" s="54">
        <f>E51</f>
        <v>157.94804361770366</v>
      </c>
      <c r="K10" s="48">
        <f>F10-J10-H10</f>
        <v>3010.4595785311285</v>
      </c>
      <c r="L10" s="32">
        <v>3170</v>
      </c>
      <c r="M10" s="32">
        <v>3010</v>
      </c>
      <c r="N10" s="55">
        <f>J10</f>
        <v>157.94804361770366</v>
      </c>
      <c r="O10" s="231">
        <f>+F51</f>
        <v>15.59</v>
      </c>
      <c r="P10" s="56">
        <f>N10*O10</f>
        <v>2462.41</v>
      </c>
      <c r="Q10" s="36">
        <f>+M10-K10</f>
        <v>-0.45957853112849989</v>
      </c>
    </row>
    <row r="11" spans="1:18" s="37" customFormat="1" ht="15.75" thickBot="1" x14ac:dyDescent="0.3">
      <c r="A11" s="57" t="s">
        <v>34</v>
      </c>
      <c r="B11" s="58">
        <f>B7+B8+B9+B10</f>
        <v>8502.2730409942633</v>
      </c>
      <c r="C11" s="59">
        <f>SUM(C7:C10)</f>
        <v>0</v>
      </c>
      <c r="D11" s="60"/>
      <c r="E11" s="61"/>
      <c r="F11" s="62">
        <f>SUM(F7:F10)</f>
        <v>8502.2730409942633</v>
      </c>
      <c r="G11" s="63">
        <f>SUM(G7:G10)</f>
        <v>1681.3195535435593</v>
      </c>
      <c r="H11" s="58"/>
      <c r="I11" s="58"/>
      <c r="J11" s="64">
        <f>SUM(J7:J10)</f>
        <v>1681.3195535435593</v>
      </c>
      <c r="K11" s="58">
        <f>SUM(K7:K10)</f>
        <v>6820.9534874507044</v>
      </c>
      <c r="L11" s="65" t="e">
        <f>L7+L8+L9+#REF!+L10</f>
        <v>#REF!</v>
      </c>
      <c r="M11" s="65" t="e">
        <f>M7+M8+M9+#REF!+M10</f>
        <v>#REF!</v>
      </c>
      <c r="N11" s="66">
        <f>SUM(N7:N10)</f>
        <v>1681.3195535435593</v>
      </c>
      <c r="O11" s="67"/>
      <c r="P11" s="68">
        <f>SUM(P7:P10)</f>
        <v>19818.670000000002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1681.3195535435593</v>
      </c>
      <c r="P13" s="83">
        <f>+P11</f>
        <v>19818.670000000002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1154.9499999999998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1000.26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/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17663.460000000003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118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95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5506.3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12157.1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672.56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482.39</v>
      </c>
      <c r="F42" s="327">
        <v>1000.26</v>
      </c>
      <c r="G42" s="322"/>
      <c r="H42" s="240"/>
      <c r="I42" s="426"/>
      <c r="J42" s="259" t="s">
        <v>34</v>
      </c>
      <c r="K42" s="328">
        <f>SUM(K39:K41)-K41</f>
        <v>17663.400000000001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1154.9499999999998</v>
      </c>
      <c r="F43" s="327">
        <f>SUM(F41:F42)</f>
        <v>1000.26</v>
      </c>
      <c r="G43" s="322">
        <f>SUM(E43:F43)</f>
        <v>2155.21</v>
      </c>
      <c r="H43" s="240"/>
      <c r="I43" s="426"/>
      <c r="J43" s="229" t="s">
        <v>106</v>
      </c>
      <c r="K43" s="294">
        <f>P27-K42</f>
        <v>6.0000000001309672E-2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846.10663198959685</v>
      </c>
      <c r="F47" s="231">
        <v>7.69</v>
      </c>
      <c r="G47" s="349">
        <v>6506.56</v>
      </c>
      <c r="M47" s="37"/>
    </row>
    <row r="48" spans="1:16" x14ac:dyDescent="0.25">
      <c r="D48" s="350" t="s">
        <v>110</v>
      </c>
      <c r="E48" s="351">
        <f>+G48/F48</f>
        <v>124.1189251000572</v>
      </c>
      <c r="F48" s="218">
        <v>17.489999999999998</v>
      </c>
      <c r="G48" s="352">
        <v>2170.84</v>
      </c>
      <c r="M48" s="37"/>
    </row>
    <row r="49" spans="4:14" x14ac:dyDescent="0.25">
      <c r="D49" s="350" t="s">
        <v>111</v>
      </c>
      <c r="E49" s="351">
        <f>+G49/F49</f>
        <v>553.14595283620145</v>
      </c>
      <c r="F49" s="218">
        <v>15.69</v>
      </c>
      <c r="G49" s="352">
        <v>8678.86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157.94804361770366</v>
      </c>
      <c r="F51" s="222">
        <v>15.59</v>
      </c>
      <c r="G51" s="355">
        <v>2462.41</v>
      </c>
      <c r="M51" s="37"/>
      <c r="N51" s="37"/>
    </row>
    <row r="52" spans="4:14" ht="15.75" thickBot="1" x14ac:dyDescent="0.3">
      <c r="D52" s="356"/>
      <c r="E52" s="357">
        <f>SUM(E47:E51)</f>
        <v>1681.3195535435593</v>
      </c>
      <c r="F52" s="358"/>
      <c r="G52" s="359">
        <f>G47+G48+G49+G51</f>
        <v>19818.670000000002</v>
      </c>
      <c r="K52" s="360">
        <f>G52-E43-F43-K42</f>
        <v>6.0000000001309672E-2</v>
      </c>
      <c r="M52" s="37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51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96B4146-B745-42DA-A9EF-CFC476233D7C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I1" sqref="I1:I1048576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45723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432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500" t="s">
        <v>28</v>
      </c>
      <c r="B7" s="24">
        <v>2437.4147076555114</v>
      </c>
      <c r="C7" s="25">
        <f>M34/2.0185</f>
        <v>1862.7693832053506</v>
      </c>
      <c r="D7" s="26"/>
      <c r="E7" s="27"/>
      <c r="F7" s="28">
        <f>B7+C7+E7</f>
        <v>4300.1840908608619</v>
      </c>
      <c r="G7" s="29">
        <f>E47</f>
        <v>730.85305591677502</v>
      </c>
      <c r="H7" s="30"/>
      <c r="I7" s="30"/>
      <c r="J7" s="31">
        <f>E47</f>
        <v>730.85305591677502</v>
      </c>
      <c r="K7" s="24">
        <f>F7-J7-H7</f>
        <v>3569.3310349440872</v>
      </c>
      <c r="L7" s="32">
        <v>2600</v>
      </c>
      <c r="M7" s="32">
        <v>3800</v>
      </c>
      <c r="N7" s="33">
        <f>J7</f>
        <v>730.85305591677502</v>
      </c>
      <c r="O7" s="231">
        <f>+F47</f>
        <v>7.69</v>
      </c>
      <c r="P7" s="35">
        <f>N7*O7</f>
        <v>5620.26</v>
      </c>
      <c r="Q7" s="36">
        <f>+M7-K7</f>
        <v>230.66896505591285</v>
      </c>
      <c r="R7" s="37" t="s">
        <v>29</v>
      </c>
    </row>
    <row r="8" spans="1:18" s="37" customFormat="1" ht="33.75" x14ac:dyDescent="0.25">
      <c r="A8" s="500" t="s">
        <v>142</v>
      </c>
      <c r="B8" s="39">
        <v>554.87137616769132</v>
      </c>
      <c r="C8" s="40">
        <f>M30</f>
        <v>1050</v>
      </c>
      <c r="D8" s="41"/>
      <c r="E8" s="42"/>
      <c r="F8" s="43">
        <f>B8+C8+E8</f>
        <v>1604.8713761676913</v>
      </c>
      <c r="G8" s="44">
        <f>E48</f>
        <v>166.54774156660952</v>
      </c>
      <c r="H8" s="42"/>
      <c r="I8" s="42"/>
      <c r="J8" s="45">
        <f>E48</f>
        <v>166.54774156660952</v>
      </c>
      <c r="K8" s="39">
        <f>F8-J8-H8</f>
        <v>1438.3236346010817</v>
      </c>
      <c r="L8" s="32">
        <v>540</v>
      </c>
      <c r="M8" s="32">
        <v>1430</v>
      </c>
      <c r="N8" s="46">
        <f>J8</f>
        <v>166.54774156660952</v>
      </c>
      <c r="O8" s="231">
        <f>+F48</f>
        <v>17.489999999999998</v>
      </c>
      <c r="P8" s="47">
        <f>N8*O8</f>
        <v>2912.92</v>
      </c>
      <c r="Q8" s="36">
        <f>+M8-K8</f>
        <v>-8.3236346010817215</v>
      </c>
    </row>
    <row r="9" spans="1:18" s="37" customFormat="1" x14ac:dyDescent="0.25">
      <c r="A9" s="501" t="s">
        <v>143</v>
      </c>
      <c r="B9" s="39">
        <v>818.20782509637286</v>
      </c>
      <c r="C9" s="40">
        <f>M31</f>
        <v>2850</v>
      </c>
      <c r="D9" s="41"/>
      <c r="E9" s="42"/>
      <c r="F9" s="43">
        <f>B9+C9+E9</f>
        <v>3668.2078250963727</v>
      </c>
      <c r="G9" s="44">
        <f>E49</f>
        <v>595.45570427023586</v>
      </c>
      <c r="H9" s="42"/>
      <c r="I9" s="42"/>
      <c r="J9" s="45">
        <f>E49</f>
        <v>595.45570427023586</v>
      </c>
      <c r="K9" s="39">
        <f>F9-J9-H9</f>
        <v>3072.7521208261369</v>
      </c>
      <c r="L9" s="32">
        <v>800</v>
      </c>
      <c r="M9" s="32">
        <v>3060</v>
      </c>
      <c r="N9" s="46">
        <f>J9</f>
        <v>595.45570427023586</v>
      </c>
      <c r="O9" s="231">
        <f>+F49</f>
        <v>15.69</v>
      </c>
      <c r="P9" s="47">
        <f>N9*O9</f>
        <v>9342.7000000000007</v>
      </c>
      <c r="Q9" s="36">
        <f>+M9-K9</f>
        <v>-12.752120826136888</v>
      </c>
    </row>
    <row r="10" spans="1:18" s="37" customFormat="1" ht="15.75" thickBot="1" x14ac:dyDescent="0.3">
      <c r="A10" s="502" t="s">
        <v>33</v>
      </c>
      <c r="B10" s="48">
        <v>3010.4595785311285</v>
      </c>
      <c r="C10" s="49">
        <f>M33</f>
        <v>0</v>
      </c>
      <c r="D10" s="50"/>
      <c r="E10" s="51"/>
      <c r="F10" s="52">
        <f>B10+C10+E10</f>
        <v>3010.4595785311285</v>
      </c>
      <c r="G10" s="53">
        <f>E51</f>
        <v>164.07376523412444</v>
      </c>
      <c r="H10" s="51"/>
      <c r="I10" s="51"/>
      <c r="J10" s="54">
        <f>E51</f>
        <v>164.07376523412444</v>
      </c>
      <c r="K10" s="48">
        <f>F10-J10-H10</f>
        <v>2846.385813297004</v>
      </c>
      <c r="L10" s="32">
        <v>3010</v>
      </c>
      <c r="M10" s="32">
        <v>2850</v>
      </c>
      <c r="N10" s="55">
        <f>J10</f>
        <v>164.07376523412444</v>
      </c>
      <c r="O10" s="231">
        <f>+F51</f>
        <v>15.59</v>
      </c>
      <c r="P10" s="56">
        <f>N10*O10</f>
        <v>2557.91</v>
      </c>
      <c r="Q10" s="36">
        <f>+M10-K10</f>
        <v>3.614186702995994</v>
      </c>
    </row>
    <row r="11" spans="1:18" s="37" customFormat="1" ht="15.75" thickBot="1" x14ac:dyDescent="0.3">
      <c r="A11" s="57" t="s">
        <v>34</v>
      </c>
      <c r="B11" s="58">
        <f>B7+B8+B9+B10</f>
        <v>6820.9534874507044</v>
      </c>
      <c r="C11" s="59">
        <f>SUM(C7:C10)</f>
        <v>5762.7693832053501</v>
      </c>
      <c r="D11" s="60"/>
      <c r="E11" s="61"/>
      <c r="F11" s="62">
        <f>SUM(F7:F10)</f>
        <v>12583.722870656055</v>
      </c>
      <c r="G11" s="63">
        <f>SUM(G7:G10)</f>
        <v>1656.9302669877447</v>
      </c>
      <c r="H11" s="58"/>
      <c r="I11" s="58"/>
      <c r="J11" s="64">
        <f>SUM(J7:J10)</f>
        <v>1656.9302669877447</v>
      </c>
      <c r="K11" s="58">
        <f>SUM(K7:K10)</f>
        <v>10926.792603668309</v>
      </c>
      <c r="L11" s="65" t="e">
        <f>L7+L8+L9+#REF!+L10</f>
        <v>#REF!</v>
      </c>
      <c r="M11" s="65" t="e">
        <f>M7+M8+M9+#REF!+M10</f>
        <v>#REF!</v>
      </c>
      <c r="N11" s="66">
        <f>SUM(N7:N10)</f>
        <v>1656.9302669877447</v>
      </c>
      <c r="O11" s="67"/>
      <c r="P11" s="68">
        <f>SUM(P7:P10)</f>
        <v>20433.79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1656.9302669877447</v>
      </c>
      <c r="P13" s="83">
        <f>+P11</f>
        <v>20433.79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3074.7200000000003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1411.95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/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15947.119999999999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>
        <v>1050</v>
      </c>
      <c r="N30" s="141" t="s">
        <v>121</v>
      </c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>
        <v>2850</v>
      </c>
      <c r="N31" s="141"/>
      <c r="O31" s="141"/>
      <c r="P31" s="141" t="s">
        <v>118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>
        <v>3760</v>
      </c>
      <c r="N34" s="141" t="s">
        <v>119</v>
      </c>
      <c r="O34" s="147"/>
      <c r="P34" s="152" t="s">
        <v>120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4208.3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11738.2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2054.0300000000002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1020.69</v>
      </c>
      <c r="F42" s="327">
        <v>1411.95</v>
      </c>
      <c r="G42" s="322"/>
      <c r="H42" s="240"/>
      <c r="I42" s="426"/>
      <c r="J42" s="259" t="s">
        <v>34</v>
      </c>
      <c r="K42" s="328">
        <f>SUM(K39:K41)-K41</f>
        <v>15946.5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3074.7200000000003</v>
      </c>
      <c r="F43" s="327">
        <f>SUM(F41:F42)</f>
        <v>1411.95</v>
      </c>
      <c r="G43" s="322">
        <f>SUM(E43:F43)</f>
        <v>4486.67</v>
      </c>
      <c r="H43" s="240"/>
      <c r="I43" s="426"/>
      <c r="J43" s="229" t="s">
        <v>106</v>
      </c>
      <c r="K43" s="294">
        <f>P27-K42</f>
        <v>0.61999999999898137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730.85305591677502</v>
      </c>
      <c r="F47" s="231">
        <v>7.69</v>
      </c>
      <c r="G47" s="349">
        <v>5620.26</v>
      </c>
      <c r="M47" s="37"/>
    </row>
    <row r="48" spans="1:16" x14ac:dyDescent="0.25">
      <c r="D48" s="350" t="s">
        <v>110</v>
      </c>
      <c r="E48" s="351">
        <f>+G48/F48</f>
        <v>166.54774156660952</v>
      </c>
      <c r="F48" s="218">
        <v>17.489999999999998</v>
      </c>
      <c r="G48" s="352">
        <v>2912.92</v>
      </c>
      <c r="M48" s="37"/>
    </row>
    <row r="49" spans="4:14" x14ac:dyDescent="0.25">
      <c r="D49" s="350" t="s">
        <v>111</v>
      </c>
      <c r="E49" s="351">
        <f>+G49/F49</f>
        <v>595.45570427023586</v>
      </c>
      <c r="F49" s="218">
        <v>15.69</v>
      </c>
      <c r="G49" s="352">
        <v>9342.7000000000007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164.07376523412444</v>
      </c>
      <c r="F51" s="222">
        <v>15.59</v>
      </c>
      <c r="G51" s="355">
        <v>2557.91</v>
      </c>
      <c r="M51" s="37"/>
      <c r="N51" s="37"/>
    </row>
    <row r="52" spans="4:14" ht="15.75" thickBot="1" x14ac:dyDescent="0.3">
      <c r="D52" s="356"/>
      <c r="E52" s="357">
        <f>SUM(E47:E51)</f>
        <v>1656.9302669877447</v>
      </c>
      <c r="F52" s="358"/>
      <c r="G52" s="359">
        <f>G47+G48+G49+G51</f>
        <v>20433.79</v>
      </c>
      <c r="K52" s="360">
        <f>G52-E43-F43-K42</f>
        <v>0.61999999999898137</v>
      </c>
      <c r="M52" s="37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49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454C49D-347C-4068-9FC9-B35353FCA042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I1" sqref="I1:I1048576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45724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433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97" t="s">
        <v>28</v>
      </c>
      <c r="B7" s="24">
        <v>3569.3310349440872</v>
      </c>
      <c r="C7" s="25">
        <f>M34/2.0185</f>
        <v>0</v>
      </c>
      <c r="D7" s="26"/>
      <c r="E7" s="27"/>
      <c r="F7" s="28">
        <f>B7+C7+E7</f>
        <v>3569.3310349440872</v>
      </c>
      <c r="G7" s="29">
        <f>E47</f>
        <v>753.76462938881662</v>
      </c>
      <c r="H7" s="30"/>
      <c r="I7" s="30"/>
      <c r="J7" s="31">
        <f>E47</f>
        <v>753.76462938881662</v>
      </c>
      <c r="K7" s="24">
        <f>F7-J7-H7</f>
        <v>2815.5664055552706</v>
      </c>
      <c r="L7" s="32">
        <v>3800</v>
      </c>
      <c r="M7" s="32">
        <v>3000</v>
      </c>
      <c r="N7" s="33">
        <f>J7</f>
        <v>753.76462938881662</v>
      </c>
      <c r="O7" s="231">
        <f>+F47</f>
        <v>7.69</v>
      </c>
      <c r="P7" s="35">
        <f>N7*O7</f>
        <v>5796.45</v>
      </c>
      <c r="Q7" s="36">
        <f>+M7-K7</f>
        <v>184.43359444472935</v>
      </c>
      <c r="R7" s="37" t="s">
        <v>29</v>
      </c>
    </row>
    <row r="8" spans="1:18" s="37" customFormat="1" ht="33.75" x14ac:dyDescent="0.25">
      <c r="A8" s="497" t="s">
        <v>142</v>
      </c>
      <c r="B8" s="39">
        <v>1438.3236346010817</v>
      </c>
      <c r="C8" s="40">
        <f>M30</f>
        <v>0</v>
      </c>
      <c r="D8" s="41"/>
      <c r="E8" s="42"/>
      <c r="F8" s="43">
        <f>B8+C8+E8</f>
        <v>1438.3236346010817</v>
      </c>
      <c r="G8" s="44">
        <f>E48</f>
        <v>175.75871926815324</v>
      </c>
      <c r="H8" s="42"/>
      <c r="I8" s="42"/>
      <c r="J8" s="45">
        <f>E48</f>
        <v>175.75871926815324</v>
      </c>
      <c r="K8" s="39">
        <f>F8-J8-H8</f>
        <v>1262.5649153329284</v>
      </c>
      <c r="L8" s="32">
        <v>1430</v>
      </c>
      <c r="M8" s="32">
        <v>1250</v>
      </c>
      <c r="N8" s="46">
        <f>J8</f>
        <v>175.75871926815324</v>
      </c>
      <c r="O8" s="231">
        <f>+F48</f>
        <v>17.489999999999998</v>
      </c>
      <c r="P8" s="47">
        <f>N8*O8</f>
        <v>3074.02</v>
      </c>
      <c r="Q8" s="36">
        <f>+M8-K8</f>
        <v>-12.564915332928422</v>
      </c>
    </row>
    <row r="9" spans="1:18" s="37" customFormat="1" x14ac:dyDescent="0.25">
      <c r="A9" s="498" t="s">
        <v>143</v>
      </c>
      <c r="B9" s="39">
        <v>3072.7521208261369</v>
      </c>
      <c r="C9" s="40">
        <f>M31</f>
        <v>0</v>
      </c>
      <c r="D9" s="41"/>
      <c r="E9" s="42"/>
      <c r="F9" s="43">
        <f>B9+C9+E9</f>
        <v>3072.7521208261369</v>
      </c>
      <c r="G9" s="44">
        <f>E49</f>
        <v>612.43849585723387</v>
      </c>
      <c r="H9" s="42"/>
      <c r="I9" s="42"/>
      <c r="J9" s="45">
        <f>E49</f>
        <v>612.43849585723387</v>
      </c>
      <c r="K9" s="39">
        <f>F9-J9-H9</f>
        <v>2460.3136249689032</v>
      </c>
      <c r="L9" s="32">
        <v>3060</v>
      </c>
      <c r="M9" s="32">
        <v>2450</v>
      </c>
      <c r="N9" s="46">
        <f>J9</f>
        <v>612.43849585723387</v>
      </c>
      <c r="O9" s="231">
        <f>+F49</f>
        <v>15.69</v>
      </c>
      <c r="P9" s="47">
        <f>N9*O9</f>
        <v>9609.16</v>
      </c>
      <c r="Q9" s="36">
        <f>+M9-K9</f>
        <v>-10.313624968903241</v>
      </c>
    </row>
    <row r="10" spans="1:18" s="37" customFormat="1" ht="15.75" thickBot="1" x14ac:dyDescent="0.3">
      <c r="A10" s="499" t="s">
        <v>33</v>
      </c>
      <c r="B10" s="48">
        <v>2846.385813297004</v>
      </c>
      <c r="C10" s="49">
        <f>M33</f>
        <v>0</v>
      </c>
      <c r="D10" s="50"/>
      <c r="E10" s="51"/>
      <c r="F10" s="52">
        <f>B10+C10+E10</f>
        <v>2846.385813297004</v>
      </c>
      <c r="G10" s="53">
        <f>E51</f>
        <v>144.42655548428482</v>
      </c>
      <c r="H10" s="51"/>
      <c r="I10" s="51"/>
      <c r="J10" s="54">
        <f>E51</f>
        <v>144.42655548428482</v>
      </c>
      <c r="K10" s="48">
        <f>F10-J10-H10</f>
        <v>2701.959257812719</v>
      </c>
      <c r="L10" s="32">
        <v>2850</v>
      </c>
      <c r="M10" s="32">
        <v>2700</v>
      </c>
      <c r="N10" s="55">
        <f>J10</f>
        <v>144.42655548428482</v>
      </c>
      <c r="O10" s="231">
        <f>+F51</f>
        <v>15.59</v>
      </c>
      <c r="P10" s="56">
        <f>N10*O10</f>
        <v>2251.61</v>
      </c>
      <c r="Q10" s="36">
        <f>+M10-K10</f>
        <v>-1.9592578127189881</v>
      </c>
    </row>
    <row r="11" spans="1:18" s="37" customFormat="1" ht="15.75" thickBot="1" x14ac:dyDescent="0.3">
      <c r="A11" s="57" t="s">
        <v>34</v>
      </c>
      <c r="B11" s="58">
        <f>B7+B8+B9+B10</f>
        <v>10926.792603668309</v>
      </c>
      <c r="C11" s="59">
        <f>SUM(C7:C10)</f>
        <v>0</v>
      </c>
      <c r="D11" s="60"/>
      <c r="E11" s="61"/>
      <c r="F11" s="62">
        <f>SUM(F7:F10)</f>
        <v>10926.792603668309</v>
      </c>
      <c r="G11" s="63">
        <f>SUM(G7:G10)</f>
        <v>1686.3883999984885</v>
      </c>
      <c r="H11" s="58"/>
      <c r="I11" s="58"/>
      <c r="J11" s="64">
        <f>SUM(J7:J10)</f>
        <v>1686.3883999984885</v>
      </c>
      <c r="K11" s="58">
        <f>SUM(K7:K10)</f>
        <v>9240.4042036698211</v>
      </c>
      <c r="L11" s="65" t="e">
        <f>L7+L8+L9+#REF!+L10</f>
        <v>#REF!</v>
      </c>
      <c r="M11" s="65" t="e">
        <f>M7+M8+M9+#REF!+M10</f>
        <v>#REF!</v>
      </c>
      <c r="N11" s="66">
        <f>SUM(N7:N10)</f>
        <v>1686.3883999984885</v>
      </c>
      <c r="O11" s="67"/>
      <c r="P11" s="68">
        <f>SUM(P7:P10)</f>
        <v>20731.239999999998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1686.3883999984885</v>
      </c>
      <c r="P13" s="83">
        <f>+P11</f>
        <v>20731.239999999998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2243.4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1555.55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300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16632.289999999997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118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120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4240.8999999999996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12391.5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1427.3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816.1</v>
      </c>
      <c r="F42" s="327">
        <v>1555.55</v>
      </c>
      <c r="G42" s="322"/>
      <c r="H42" s="240"/>
      <c r="I42" s="426"/>
      <c r="J42" s="259" t="s">
        <v>34</v>
      </c>
      <c r="K42" s="328">
        <f>SUM(K39:K41)-K41</f>
        <v>16632.400000000001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2243.4</v>
      </c>
      <c r="F43" s="327">
        <f>SUM(F41:F42)</f>
        <v>1555.55</v>
      </c>
      <c r="G43" s="322">
        <f>SUM(E43:F43)</f>
        <v>3798.95</v>
      </c>
      <c r="H43" s="240"/>
      <c r="I43" s="426"/>
      <c r="J43" s="229" t="s">
        <v>106</v>
      </c>
      <c r="K43" s="294">
        <f>P27-K42</f>
        <v>-0.11000000000422006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753.76462938881662</v>
      </c>
      <c r="F47" s="231">
        <v>7.69</v>
      </c>
      <c r="G47" s="349">
        <v>5796.45</v>
      </c>
      <c r="M47" s="37"/>
    </row>
    <row r="48" spans="1:16" x14ac:dyDescent="0.25">
      <c r="D48" s="350" t="s">
        <v>110</v>
      </c>
      <c r="E48" s="351">
        <f>+G48/F48</f>
        <v>175.75871926815324</v>
      </c>
      <c r="F48" s="218">
        <v>17.489999999999998</v>
      </c>
      <c r="G48" s="352">
        <v>3074.02</v>
      </c>
      <c r="M48" s="37"/>
    </row>
    <row r="49" spans="4:14" x14ac:dyDescent="0.25">
      <c r="D49" s="350" t="s">
        <v>111</v>
      </c>
      <c r="E49" s="351">
        <f>+G49/F49</f>
        <v>612.43849585723387</v>
      </c>
      <c r="F49" s="218">
        <v>15.69</v>
      </c>
      <c r="G49" s="352">
        <v>9609.16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144.42655548428482</v>
      </c>
      <c r="F51" s="222">
        <v>15.59</v>
      </c>
      <c r="G51" s="355">
        <v>2251.61</v>
      </c>
      <c r="M51" s="37"/>
      <c r="N51" s="37"/>
    </row>
    <row r="52" spans="4:14" ht="15.75" thickBot="1" x14ac:dyDescent="0.3">
      <c r="D52" s="356"/>
      <c r="E52" s="357">
        <f>SUM(E47:E51)</f>
        <v>1686.3883999984885</v>
      </c>
      <c r="F52" s="358"/>
      <c r="G52" s="359">
        <f>G47+G48+G49+G51</f>
        <v>20731.239999999998</v>
      </c>
      <c r="K52" s="360">
        <f>G52-E43-F43-K42</f>
        <v>299.88999999999578</v>
      </c>
      <c r="M52" s="37"/>
    </row>
  </sheetData>
  <mergeCells count="53"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35:B35"/>
    <mergeCell ref="A36:B36"/>
    <mergeCell ref="A37:D37"/>
    <mergeCell ref="A38:D38"/>
    <mergeCell ref="J38:L38"/>
    <mergeCell ref="A44:C44"/>
    <mergeCell ref="M39:N39"/>
    <mergeCell ref="O39:P39"/>
    <mergeCell ref="A40:D40"/>
    <mergeCell ref="A41:D41"/>
    <mergeCell ref="A42:D42"/>
    <mergeCell ref="A43:D43"/>
    <mergeCell ref="A39:D39"/>
  </mergeCells>
  <conditionalFormatting sqref="Q7:Q11">
    <cfRule type="cellIs" dxfId="47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5DD7637-8BDD-4D53-9422-0D554BA5DE8F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I1" sqref="I1:I1048576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45725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434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94" t="s">
        <v>28</v>
      </c>
      <c r="B7" s="24">
        <v>2815.5664055552706</v>
      </c>
      <c r="C7" s="25">
        <f>M34/2.0185</f>
        <v>0</v>
      </c>
      <c r="D7" s="26"/>
      <c r="E7" s="27"/>
      <c r="F7" s="28">
        <f>B7+C7+E7</f>
        <v>2815.5664055552706</v>
      </c>
      <c r="G7" s="29">
        <f>E47</f>
        <v>980.83745123537062</v>
      </c>
      <c r="H7" s="30"/>
      <c r="I7" s="30"/>
      <c r="J7" s="31">
        <f>E47</f>
        <v>980.83745123537062</v>
      </c>
      <c r="K7" s="24">
        <f>F7-J7-H7</f>
        <v>1834.7289543198999</v>
      </c>
      <c r="L7" s="32">
        <v>3000</v>
      </c>
      <c r="M7" s="32">
        <v>2000</v>
      </c>
      <c r="N7" s="33">
        <f>J7</f>
        <v>980.83745123537062</v>
      </c>
      <c r="O7" s="231">
        <f>+F47</f>
        <v>7.69</v>
      </c>
      <c r="P7" s="35">
        <f>N7*O7</f>
        <v>7542.64</v>
      </c>
      <c r="Q7" s="36">
        <f>+M7-K7</f>
        <v>165.27104568010009</v>
      </c>
      <c r="R7" s="37" t="s">
        <v>29</v>
      </c>
    </row>
    <row r="8" spans="1:18" s="37" customFormat="1" ht="33.75" x14ac:dyDescent="0.25">
      <c r="A8" s="494" t="s">
        <v>142</v>
      </c>
      <c r="B8" s="39">
        <v>1262.5649153329284</v>
      </c>
      <c r="C8" s="40">
        <f>M30</f>
        <v>0</v>
      </c>
      <c r="D8" s="41"/>
      <c r="E8" s="42"/>
      <c r="F8" s="43">
        <f>B8+C8+E8</f>
        <v>1262.5649153329284</v>
      </c>
      <c r="G8" s="44">
        <f>E48</f>
        <v>194.55860491709549</v>
      </c>
      <c r="H8" s="42"/>
      <c r="I8" s="42"/>
      <c r="J8" s="45">
        <f>E48</f>
        <v>194.55860491709549</v>
      </c>
      <c r="K8" s="39">
        <f>F8-J8-H8</f>
        <v>1068.006310415833</v>
      </c>
      <c r="L8" s="32">
        <v>1250</v>
      </c>
      <c r="M8" s="32">
        <v>1050</v>
      </c>
      <c r="N8" s="46">
        <f>J8</f>
        <v>194.55860491709549</v>
      </c>
      <c r="O8" s="231">
        <f>+F48</f>
        <v>17.489999999999998</v>
      </c>
      <c r="P8" s="47">
        <f>N8*O8</f>
        <v>3402.83</v>
      </c>
      <c r="Q8" s="36">
        <f>+M8-K8</f>
        <v>-18.006310415833013</v>
      </c>
    </row>
    <row r="9" spans="1:18" s="37" customFormat="1" x14ac:dyDescent="0.25">
      <c r="A9" s="495" t="s">
        <v>143</v>
      </c>
      <c r="B9" s="39">
        <v>2460.3136249689032</v>
      </c>
      <c r="C9" s="40">
        <f>M31</f>
        <v>0</v>
      </c>
      <c r="D9" s="41"/>
      <c r="E9" s="42"/>
      <c r="F9" s="43">
        <f>B9+C9+E9</f>
        <v>2460.3136249689032</v>
      </c>
      <c r="G9" s="44">
        <f>E49</f>
        <v>617.39133205863618</v>
      </c>
      <c r="H9" s="42"/>
      <c r="I9" s="42"/>
      <c r="J9" s="45">
        <f>E49</f>
        <v>617.39133205863618</v>
      </c>
      <c r="K9" s="39">
        <f>F9-J9-H9</f>
        <v>1842.9222929102671</v>
      </c>
      <c r="L9" s="32">
        <v>2450</v>
      </c>
      <c r="M9" s="32">
        <v>1820</v>
      </c>
      <c r="N9" s="46">
        <f>J9</f>
        <v>617.39133205863618</v>
      </c>
      <c r="O9" s="231">
        <f>+F49</f>
        <v>15.69</v>
      </c>
      <c r="P9" s="47">
        <f>N9*O9</f>
        <v>9686.8700000000008</v>
      </c>
      <c r="Q9" s="36">
        <f>+M9-K9</f>
        <v>-22.922292910267061</v>
      </c>
    </row>
    <row r="10" spans="1:18" s="37" customFormat="1" ht="15.75" thickBot="1" x14ac:dyDescent="0.3">
      <c r="A10" s="496" t="s">
        <v>33</v>
      </c>
      <c r="B10" s="48">
        <v>2701.959257812719</v>
      </c>
      <c r="C10" s="49">
        <f>M33</f>
        <v>0</v>
      </c>
      <c r="D10" s="50"/>
      <c r="E10" s="51"/>
      <c r="F10" s="52">
        <f>B10+C10+E10</f>
        <v>2701.959257812719</v>
      </c>
      <c r="G10" s="53">
        <f>E51</f>
        <v>151.37908915971778</v>
      </c>
      <c r="H10" s="51"/>
      <c r="I10" s="51"/>
      <c r="J10" s="54">
        <f>E51</f>
        <v>151.37908915971778</v>
      </c>
      <c r="K10" s="48">
        <f>F10-J10-H10</f>
        <v>2550.5801686530012</v>
      </c>
      <c r="L10" s="32">
        <v>2700</v>
      </c>
      <c r="M10" s="32">
        <v>2550</v>
      </c>
      <c r="N10" s="55">
        <f>J10</f>
        <v>151.37908915971778</v>
      </c>
      <c r="O10" s="231">
        <f>+F51</f>
        <v>15.59</v>
      </c>
      <c r="P10" s="56">
        <f>N10*O10</f>
        <v>2360</v>
      </c>
      <c r="Q10" s="36">
        <f>+M10-K10</f>
        <v>-0.58016865300123754</v>
      </c>
    </row>
    <row r="11" spans="1:18" s="37" customFormat="1" ht="15.75" thickBot="1" x14ac:dyDescent="0.3">
      <c r="A11" s="57" t="s">
        <v>34</v>
      </c>
      <c r="B11" s="58">
        <f>B7+B8+B9+B10</f>
        <v>9240.4042036698211</v>
      </c>
      <c r="C11" s="59">
        <f>SUM(C7:C10)</f>
        <v>0</v>
      </c>
      <c r="D11" s="60"/>
      <c r="E11" s="61"/>
      <c r="F11" s="62">
        <f>SUM(F7:F10)</f>
        <v>9240.4042036698211</v>
      </c>
      <c r="G11" s="63">
        <f>SUM(G7:G10)</f>
        <v>1944.1664773708201</v>
      </c>
      <c r="H11" s="58"/>
      <c r="I11" s="58"/>
      <c r="J11" s="64">
        <f>SUM(J7:J10)</f>
        <v>1944.1664773708201</v>
      </c>
      <c r="K11" s="58">
        <f>SUM(K7:K10)</f>
        <v>7296.2377262990012</v>
      </c>
      <c r="L11" s="65" t="e">
        <f>L7+L8+L9+#REF!+L10</f>
        <v>#REF!</v>
      </c>
      <c r="M11" s="65" t="e">
        <f>M7+M8+M9+#REF!+M10</f>
        <v>#REF!</v>
      </c>
      <c r="N11" s="66">
        <f>SUM(N7:N10)</f>
        <v>1944.1664773708201</v>
      </c>
      <c r="O11" s="67"/>
      <c r="P11" s="68">
        <f>SUM(P7:P10)</f>
        <v>22992.340000000004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1944.1664773708201</v>
      </c>
      <c r="P13" s="83">
        <f>+P11</f>
        <v>22992.340000000004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1637.58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1529.74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19825.02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118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120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6012.9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13812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838.22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799.36</v>
      </c>
      <c r="F42" s="327">
        <v>1529.74</v>
      </c>
      <c r="G42" s="322"/>
      <c r="H42" s="240"/>
      <c r="I42" s="426"/>
      <c r="J42" s="259" t="s">
        <v>34</v>
      </c>
      <c r="K42" s="328">
        <f>SUM(K39:K41)-K41</f>
        <v>19824.900000000001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1637.58</v>
      </c>
      <c r="F43" s="327">
        <f>SUM(F41:F42)</f>
        <v>1529.74</v>
      </c>
      <c r="G43" s="322">
        <f>SUM(E43:F43)</f>
        <v>3167.3199999999997</v>
      </c>
      <c r="H43" s="240"/>
      <c r="I43" s="426"/>
      <c r="J43" s="229" t="s">
        <v>106</v>
      </c>
      <c r="K43" s="294">
        <f>P27-K42</f>
        <v>0.11999999999898137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980.83745123537062</v>
      </c>
      <c r="F47" s="231">
        <v>7.69</v>
      </c>
      <c r="G47" s="349">
        <v>7542.64</v>
      </c>
      <c r="M47" s="37"/>
    </row>
    <row r="48" spans="1:16" x14ac:dyDescent="0.25">
      <c r="D48" s="350" t="s">
        <v>110</v>
      </c>
      <c r="E48" s="351">
        <f>+G48/F48</f>
        <v>194.55860491709549</v>
      </c>
      <c r="F48" s="218">
        <v>17.489999999999998</v>
      </c>
      <c r="G48" s="352">
        <v>3402.83</v>
      </c>
      <c r="M48" s="37"/>
    </row>
    <row r="49" spans="4:14" x14ac:dyDescent="0.25">
      <c r="D49" s="350" t="s">
        <v>111</v>
      </c>
      <c r="E49" s="351">
        <f>+G49/F49</f>
        <v>617.39133205863618</v>
      </c>
      <c r="F49" s="218">
        <v>15.69</v>
      </c>
      <c r="G49" s="352">
        <v>9686.8700000000008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151.37908915971778</v>
      </c>
      <c r="F51" s="222">
        <v>15.59</v>
      </c>
      <c r="G51" s="355">
        <v>2360</v>
      </c>
      <c r="M51" s="37"/>
      <c r="N51" s="37"/>
    </row>
    <row r="52" spans="4:14" ht="15.75" thickBot="1" x14ac:dyDescent="0.3">
      <c r="D52" s="356"/>
      <c r="E52" s="357">
        <f>SUM(E47:E51)</f>
        <v>1944.1664773708201</v>
      </c>
      <c r="F52" s="358"/>
      <c r="G52" s="359">
        <f>G47+G48+G49+G51</f>
        <v>22992.340000000004</v>
      </c>
      <c r="K52" s="360">
        <f>G52-E43-F43-K42</f>
        <v>0.11999999999898137</v>
      </c>
      <c r="M52" s="37"/>
    </row>
  </sheetData>
  <mergeCells count="53"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35:B35"/>
    <mergeCell ref="A36:B36"/>
    <mergeCell ref="A37:D37"/>
    <mergeCell ref="A38:D38"/>
    <mergeCell ref="J38:L38"/>
    <mergeCell ref="A44:C44"/>
    <mergeCell ref="M39:N39"/>
    <mergeCell ref="O39:P39"/>
    <mergeCell ref="A40:D40"/>
    <mergeCell ref="A41:D41"/>
    <mergeCell ref="A42:D42"/>
    <mergeCell ref="A43:D43"/>
    <mergeCell ref="A39:D39"/>
  </mergeCells>
  <conditionalFormatting sqref="Q7:Q11">
    <cfRule type="cellIs" dxfId="45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4134FFD-922C-4807-BE1B-1BD9A821130C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45726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435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91" t="s">
        <v>28</v>
      </c>
      <c r="B7" s="24">
        <v>1834.7289543198999</v>
      </c>
      <c r="C7" s="25">
        <f>M34/2.0185</f>
        <v>2288.8283378746596</v>
      </c>
      <c r="D7" s="26"/>
      <c r="E7" s="27"/>
      <c r="F7" s="28">
        <f>B7+C7+E7</f>
        <v>4123.5572921945595</v>
      </c>
      <c r="G7" s="29">
        <f>E47</f>
        <v>606.61118335500646</v>
      </c>
      <c r="H7" s="30"/>
      <c r="I7" s="30"/>
      <c r="J7" s="31">
        <f>E47</f>
        <v>606.61118335500646</v>
      </c>
      <c r="K7" s="24">
        <f>F7-J7-H7</f>
        <v>3516.9461088395528</v>
      </c>
      <c r="L7" s="32">
        <v>2000</v>
      </c>
      <c r="M7" s="32">
        <v>3700</v>
      </c>
      <c r="N7" s="33">
        <f>J7</f>
        <v>606.61118335500646</v>
      </c>
      <c r="O7" s="231">
        <f>+F47</f>
        <v>7.69</v>
      </c>
      <c r="P7" s="35">
        <f>N7*O7</f>
        <v>4664.84</v>
      </c>
      <c r="Q7" s="36">
        <f>+M7-K7</f>
        <v>183.05389116044717</v>
      </c>
      <c r="R7" s="37" t="s">
        <v>29</v>
      </c>
    </row>
    <row r="8" spans="1:18" s="37" customFormat="1" ht="33.75" x14ac:dyDescent="0.25">
      <c r="A8" s="491" t="s">
        <v>142</v>
      </c>
      <c r="B8" s="39">
        <v>1068.006310415833</v>
      </c>
      <c r="C8" s="40">
        <f>M30</f>
        <v>0</v>
      </c>
      <c r="D8" s="41"/>
      <c r="E8" s="42"/>
      <c r="F8" s="43">
        <f>B8+C8+E8</f>
        <v>1068.006310415833</v>
      </c>
      <c r="G8" s="44">
        <f>E48</f>
        <v>176.28073184676961</v>
      </c>
      <c r="H8" s="42"/>
      <c r="I8" s="42"/>
      <c r="J8" s="45">
        <f>E48</f>
        <v>176.28073184676961</v>
      </c>
      <c r="K8" s="39">
        <f>F8-J8-H8</f>
        <v>891.72557856906337</v>
      </c>
      <c r="L8" s="32">
        <v>1050</v>
      </c>
      <c r="M8" s="32">
        <v>880</v>
      </c>
      <c r="N8" s="46">
        <f>J8</f>
        <v>176.28073184676961</v>
      </c>
      <c r="O8" s="231">
        <f>+F48</f>
        <v>17.489999999999998</v>
      </c>
      <c r="P8" s="47">
        <f>N8*O8</f>
        <v>3083.15</v>
      </c>
      <c r="Q8" s="36">
        <f>+M8-K8</f>
        <v>-11.725578569063373</v>
      </c>
    </row>
    <row r="9" spans="1:18" s="37" customFormat="1" x14ac:dyDescent="0.25">
      <c r="A9" s="492" t="s">
        <v>143</v>
      </c>
      <c r="B9" s="39">
        <v>1842.9222929102671</v>
      </c>
      <c r="C9" s="40">
        <f>M31</f>
        <v>0</v>
      </c>
      <c r="D9" s="41"/>
      <c r="E9" s="42"/>
      <c r="F9" s="43">
        <f>B9+C9+E9</f>
        <v>1842.9222929102671</v>
      </c>
      <c r="G9" s="44">
        <f>E49</f>
        <v>635.40662842574898</v>
      </c>
      <c r="H9" s="42"/>
      <c r="I9" s="42"/>
      <c r="J9" s="45">
        <f>E49</f>
        <v>635.40662842574898</v>
      </c>
      <c r="K9" s="39">
        <f>F9-J9-H9</f>
        <v>1207.5156644845181</v>
      </c>
      <c r="L9" s="32">
        <v>1820</v>
      </c>
      <c r="M9" s="32">
        <v>1190</v>
      </c>
      <c r="N9" s="46">
        <f>J9</f>
        <v>635.40662842574898</v>
      </c>
      <c r="O9" s="231">
        <f>+F49</f>
        <v>15.69</v>
      </c>
      <c r="P9" s="47">
        <f>N9*O9</f>
        <v>9969.5300000000007</v>
      </c>
      <c r="Q9" s="36">
        <f>+M9-K9</f>
        <v>-17.515664484518084</v>
      </c>
    </row>
    <row r="10" spans="1:18" s="37" customFormat="1" ht="15.75" thickBot="1" x14ac:dyDescent="0.3">
      <c r="A10" s="493" t="s">
        <v>33</v>
      </c>
      <c r="B10" s="48">
        <v>2550.5801686530012</v>
      </c>
      <c r="C10" s="49">
        <f>M33</f>
        <v>0</v>
      </c>
      <c r="D10" s="50"/>
      <c r="E10" s="51"/>
      <c r="F10" s="52">
        <f>B10+C10+E10</f>
        <v>2550.5801686530012</v>
      </c>
      <c r="G10" s="53">
        <f>E51</f>
        <v>233.45285439384222</v>
      </c>
      <c r="H10" s="51"/>
      <c r="I10" s="51"/>
      <c r="J10" s="54">
        <f>E51</f>
        <v>233.45285439384222</v>
      </c>
      <c r="K10" s="48">
        <f>F10-J10-H10</f>
        <v>2317.127314259159</v>
      </c>
      <c r="L10" s="32">
        <v>2550</v>
      </c>
      <c r="M10" s="32">
        <v>2320</v>
      </c>
      <c r="N10" s="55">
        <f>J10</f>
        <v>233.45285439384222</v>
      </c>
      <c r="O10" s="231">
        <f>+F51</f>
        <v>15.59</v>
      </c>
      <c r="P10" s="56">
        <f>N10*O10</f>
        <v>3639.53</v>
      </c>
      <c r="Q10" s="36">
        <f>+M10-K10</f>
        <v>2.8726857408410069</v>
      </c>
    </row>
    <row r="11" spans="1:18" s="37" customFormat="1" ht="15.75" thickBot="1" x14ac:dyDescent="0.3">
      <c r="A11" s="57" t="s">
        <v>34</v>
      </c>
      <c r="B11" s="58">
        <f>B7+B8+B9+B10</f>
        <v>7296.2377262990012</v>
      </c>
      <c r="C11" s="59">
        <f>SUM(C7:C10)</f>
        <v>2288.8283378746596</v>
      </c>
      <c r="D11" s="60"/>
      <c r="E11" s="61"/>
      <c r="F11" s="62">
        <f>SUM(F7:F10)</f>
        <v>9585.0660641736613</v>
      </c>
      <c r="G11" s="63">
        <f>SUM(G7:G10)</f>
        <v>1651.7513980213673</v>
      </c>
      <c r="H11" s="58"/>
      <c r="I11" s="58"/>
      <c r="J11" s="64">
        <f>SUM(J7:J10)</f>
        <v>1651.7513980213673</v>
      </c>
      <c r="K11" s="58">
        <f>SUM(K7:K10)</f>
        <v>7933.3146661522933</v>
      </c>
      <c r="L11" s="65" t="e">
        <f>L7+L8+L9+#REF!+L10</f>
        <v>#REF!</v>
      </c>
      <c r="M11" s="65" t="e">
        <f>M7+M8+M9+#REF!+M10</f>
        <v>#REF!</v>
      </c>
      <c r="N11" s="66">
        <f>SUM(N7:N10)</f>
        <v>1651.7513980213673</v>
      </c>
      <c r="O11" s="67"/>
      <c r="P11" s="68">
        <f>SUM(P7:P10)</f>
        <v>21357.05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1651.7513980213673</v>
      </c>
      <c r="P13" s="83">
        <f>+P11</f>
        <v>21357.05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4234.38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1155.04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15967.629999999997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118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>
        <v>4620</v>
      </c>
      <c r="N34" s="141" t="s">
        <v>122</v>
      </c>
      <c r="O34" s="147"/>
      <c r="P34" s="152" t="s">
        <v>123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3509.8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12457.8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1974.75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2259.63</v>
      </c>
      <c r="F42" s="327">
        <v>1155.04</v>
      </c>
      <c r="G42" s="322"/>
      <c r="H42" s="240"/>
      <c r="I42" s="426"/>
      <c r="J42" s="259" t="s">
        <v>34</v>
      </c>
      <c r="K42" s="328">
        <f>SUM(K39:K41)-K41</f>
        <v>15967.599999999999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4234.38</v>
      </c>
      <c r="F43" s="327">
        <f>SUM(F41:F42)</f>
        <v>1155.04</v>
      </c>
      <c r="G43" s="322">
        <f>SUM(E43:F43)</f>
        <v>5389.42</v>
      </c>
      <c r="H43" s="240"/>
      <c r="I43" s="426"/>
      <c r="J43" s="229" t="s">
        <v>106</v>
      </c>
      <c r="K43" s="294">
        <f>P27-K42</f>
        <v>2.9999999998835847E-2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606.61118335500646</v>
      </c>
      <c r="F47" s="231">
        <v>7.69</v>
      </c>
      <c r="G47" s="349">
        <v>4664.84</v>
      </c>
      <c r="M47" s="37"/>
    </row>
    <row r="48" spans="1:16" x14ac:dyDescent="0.25">
      <c r="D48" s="350" t="s">
        <v>110</v>
      </c>
      <c r="E48" s="351">
        <f>+G48/F48</f>
        <v>176.28073184676961</v>
      </c>
      <c r="F48" s="218">
        <v>17.489999999999998</v>
      </c>
      <c r="G48" s="352">
        <v>3083.15</v>
      </c>
      <c r="M48" s="37"/>
    </row>
    <row r="49" spans="4:14" x14ac:dyDescent="0.25">
      <c r="D49" s="350" t="s">
        <v>111</v>
      </c>
      <c r="E49" s="351">
        <f>+G49/F49</f>
        <v>635.40662842574898</v>
      </c>
      <c r="F49" s="218">
        <v>15.69</v>
      </c>
      <c r="G49" s="352">
        <v>9969.5300000000007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233.45285439384222</v>
      </c>
      <c r="F51" s="222">
        <v>15.59</v>
      </c>
      <c r="G51" s="355">
        <v>3639.53</v>
      </c>
      <c r="M51" s="37"/>
      <c r="N51" s="37"/>
    </row>
    <row r="52" spans="4:14" ht="15.75" thickBot="1" x14ac:dyDescent="0.3">
      <c r="D52" s="356"/>
      <c r="E52" s="357">
        <f>SUM(E47:E51)</f>
        <v>1651.7513980213673</v>
      </c>
      <c r="F52" s="358"/>
      <c r="G52" s="359">
        <f>G47+G48+G49+G51</f>
        <v>21357.05</v>
      </c>
      <c r="K52" s="360">
        <f>G52-E43-F43-K42</f>
        <v>2.9999999998835847E-2</v>
      </c>
      <c r="M52" s="37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43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D3D78AB-32DF-4C02-A194-2009D0675AFE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45727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436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88" t="s">
        <v>28</v>
      </c>
      <c r="B7" s="24">
        <v>3516.9461088395528</v>
      </c>
      <c r="C7" s="25">
        <f>M34/2.0185</f>
        <v>0</v>
      </c>
      <c r="D7" s="26"/>
      <c r="E7" s="27"/>
      <c r="F7" s="28">
        <f>B7+C7+E7</f>
        <v>3516.9461088395528</v>
      </c>
      <c r="G7" s="29">
        <f>E47</f>
        <v>937.34720416124833</v>
      </c>
      <c r="H7" s="30"/>
      <c r="I7" s="30"/>
      <c r="J7" s="31">
        <f>E47</f>
        <v>937.34720416124833</v>
      </c>
      <c r="K7" s="24">
        <f>F7-J7-H7</f>
        <v>2579.5989046783043</v>
      </c>
      <c r="L7" s="32">
        <v>3700</v>
      </c>
      <c r="M7" s="32">
        <v>2800</v>
      </c>
      <c r="N7" s="33">
        <f>J7</f>
        <v>937.34720416124833</v>
      </c>
      <c r="O7" s="231">
        <f>+F47</f>
        <v>7.69</v>
      </c>
      <c r="P7" s="35">
        <f>N7*O7</f>
        <v>7208.2</v>
      </c>
      <c r="Q7" s="36">
        <f>+M7-K7</f>
        <v>220.40109532169572</v>
      </c>
      <c r="R7" s="37" t="s">
        <v>29</v>
      </c>
    </row>
    <row r="8" spans="1:18" s="37" customFormat="1" ht="33.75" x14ac:dyDescent="0.25">
      <c r="A8" s="488" t="s">
        <v>142</v>
      </c>
      <c r="B8" s="39">
        <v>891.72557856906337</v>
      </c>
      <c r="C8" s="40">
        <f>M30</f>
        <v>0</v>
      </c>
      <c r="D8" s="41"/>
      <c r="E8" s="42"/>
      <c r="F8" s="43">
        <f>B8+C8+E8</f>
        <v>891.72557856906337</v>
      </c>
      <c r="G8" s="44">
        <f>E48</f>
        <v>188.11034877072615</v>
      </c>
      <c r="H8" s="42"/>
      <c r="I8" s="42"/>
      <c r="J8" s="45">
        <f>E48</f>
        <v>188.11034877072615</v>
      </c>
      <c r="K8" s="39">
        <f>F8-J8-H8</f>
        <v>703.61522979833717</v>
      </c>
      <c r="L8" s="32">
        <v>880</v>
      </c>
      <c r="M8" s="32">
        <v>690</v>
      </c>
      <c r="N8" s="46">
        <f>J8</f>
        <v>188.11034877072615</v>
      </c>
      <c r="O8" s="231">
        <f>+F48</f>
        <v>17.489999999999998</v>
      </c>
      <c r="P8" s="47">
        <f>N8*O8</f>
        <v>3290.05</v>
      </c>
      <c r="Q8" s="36">
        <f>+M8-K8</f>
        <v>-13.615229798337168</v>
      </c>
    </row>
    <row r="9" spans="1:18" s="37" customFormat="1" x14ac:dyDescent="0.25">
      <c r="A9" s="489" t="s">
        <v>143</v>
      </c>
      <c r="B9" s="39">
        <v>1207.5156644845181</v>
      </c>
      <c r="C9" s="40">
        <f>M31</f>
        <v>1970</v>
      </c>
      <c r="D9" s="41"/>
      <c r="E9" s="42"/>
      <c r="F9" s="43">
        <f>B9+C9+E9</f>
        <v>3177.5156644845183</v>
      </c>
      <c r="G9" s="44">
        <f>E49</f>
        <v>610.04015296367118</v>
      </c>
      <c r="H9" s="42"/>
      <c r="I9" s="42"/>
      <c r="J9" s="45">
        <f>E49</f>
        <v>610.04015296367118</v>
      </c>
      <c r="K9" s="39">
        <f>F9-J9-H9</f>
        <v>2567.4755115208472</v>
      </c>
      <c r="L9" s="32">
        <v>1190</v>
      </c>
      <c r="M9" s="32">
        <v>2520</v>
      </c>
      <c r="N9" s="46">
        <f>J9</f>
        <v>610.04015296367118</v>
      </c>
      <c r="O9" s="231">
        <f>+F49</f>
        <v>15.69</v>
      </c>
      <c r="P9" s="47">
        <f>N9*O9</f>
        <v>9571.5300000000007</v>
      </c>
      <c r="Q9" s="36">
        <f>+M9-K9</f>
        <v>-47.475511520847249</v>
      </c>
    </row>
    <row r="10" spans="1:18" s="37" customFormat="1" ht="15.75" thickBot="1" x14ac:dyDescent="0.3">
      <c r="A10" s="490" t="s">
        <v>33</v>
      </c>
      <c r="B10" s="48">
        <v>2317.127314259159</v>
      </c>
      <c r="C10" s="49">
        <f>M33</f>
        <v>0</v>
      </c>
      <c r="D10" s="50"/>
      <c r="E10" s="51"/>
      <c r="F10" s="52">
        <f>B10+C10+E10</f>
        <v>2317.127314259159</v>
      </c>
      <c r="G10" s="53">
        <f>E51</f>
        <v>216.17190506735085</v>
      </c>
      <c r="H10" s="51"/>
      <c r="I10" s="51"/>
      <c r="J10" s="54">
        <f>E51</f>
        <v>216.17190506735085</v>
      </c>
      <c r="K10" s="48">
        <f>F10-J10-H10</f>
        <v>2100.955409191808</v>
      </c>
      <c r="L10" s="32">
        <v>2320</v>
      </c>
      <c r="M10" s="32">
        <v>2100</v>
      </c>
      <c r="N10" s="55">
        <f>J10</f>
        <v>216.17190506735085</v>
      </c>
      <c r="O10" s="231">
        <f>+F51</f>
        <v>15.59</v>
      </c>
      <c r="P10" s="56">
        <f>N10*O10</f>
        <v>3370.12</v>
      </c>
      <c r="Q10" s="36">
        <f>+M10-K10</f>
        <v>-0.9554091918080303</v>
      </c>
    </row>
    <row r="11" spans="1:18" s="37" customFormat="1" ht="15.75" thickBot="1" x14ac:dyDescent="0.3">
      <c r="A11" s="57" t="s">
        <v>34</v>
      </c>
      <c r="B11" s="58">
        <f>B7+B8+B9+B10</f>
        <v>7933.3146661522933</v>
      </c>
      <c r="C11" s="59">
        <f>SUM(C7:C10)</f>
        <v>1970</v>
      </c>
      <c r="D11" s="60"/>
      <c r="E11" s="61"/>
      <c r="F11" s="62">
        <f>SUM(F7:F10)</f>
        <v>9903.3146661522933</v>
      </c>
      <c r="G11" s="63">
        <f>SUM(G7:G10)</f>
        <v>1951.6696109629966</v>
      </c>
      <c r="H11" s="58"/>
      <c r="I11" s="58"/>
      <c r="J11" s="64">
        <f>SUM(J7:J10)</f>
        <v>1951.6696109629966</v>
      </c>
      <c r="K11" s="58">
        <f>SUM(K7:K10)</f>
        <v>7951.6450551892967</v>
      </c>
      <c r="L11" s="65" t="e">
        <f>L7+L8+L9+#REF!+L10</f>
        <v>#REF!</v>
      </c>
      <c r="M11" s="65" t="e">
        <f>M7+M8+M9+#REF!+M10</f>
        <v>#REF!</v>
      </c>
      <c r="N11" s="66">
        <f>SUM(N7:N10)</f>
        <v>1951.6696109629966</v>
      </c>
      <c r="O11" s="67"/>
      <c r="P11" s="68">
        <f>SUM(P7:P10)</f>
        <v>23439.899999999998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1951.6696109629966</v>
      </c>
      <c r="P13" s="83">
        <f>+P11</f>
        <v>23439.899999999998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4289.75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1924.5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17225.649999999998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>
        <v>1970</v>
      </c>
      <c r="N31" s="141"/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123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5283.7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11942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2250.38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2039.37</v>
      </c>
      <c r="F42" s="327">
        <v>1924.5</v>
      </c>
      <c r="G42" s="322"/>
      <c r="H42" s="240"/>
      <c r="I42" s="426"/>
      <c r="J42" s="259" t="s">
        <v>34</v>
      </c>
      <c r="K42" s="328">
        <f>SUM(K39:K41)-K41</f>
        <v>17225.7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4289.75</v>
      </c>
      <c r="F43" s="327">
        <f>SUM(F41:F42)</f>
        <v>1924.5</v>
      </c>
      <c r="G43" s="322">
        <f>SUM(E43:F43)</f>
        <v>6214.25</v>
      </c>
      <c r="H43" s="240"/>
      <c r="I43" s="426"/>
      <c r="J43" s="229" t="s">
        <v>106</v>
      </c>
      <c r="K43" s="294">
        <f>P27-K42</f>
        <v>-5.0000000002910383E-2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937.34720416124833</v>
      </c>
      <c r="F47" s="231">
        <v>7.69</v>
      </c>
      <c r="G47" s="349">
        <v>7208.2</v>
      </c>
      <c r="M47" s="37"/>
    </row>
    <row r="48" spans="1:16" x14ac:dyDescent="0.25">
      <c r="D48" s="350" t="s">
        <v>110</v>
      </c>
      <c r="E48" s="351">
        <f>+G48/F48</f>
        <v>188.11034877072615</v>
      </c>
      <c r="F48" s="218">
        <v>17.489999999999998</v>
      </c>
      <c r="G48" s="352">
        <v>3290.05</v>
      </c>
      <c r="M48" s="37"/>
    </row>
    <row r="49" spans="4:14" x14ac:dyDescent="0.25">
      <c r="D49" s="350" t="s">
        <v>111</v>
      </c>
      <c r="E49" s="351">
        <f>+G49/F49</f>
        <v>610.04015296367118</v>
      </c>
      <c r="F49" s="218">
        <v>15.69</v>
      </c>
      <c r="G49" s="352">
        <v>9571.5300000000007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216.17190506735085</v>
      </c>
      <c r="F51" s="222">
        <v>15.59</v>
      </c>
      <c r="G51" s="355">
        <v>3370.12</v>
      </c>
      <c r="M51" s="37"/>
      <c r="N51" s="37"/>
    </row>
    <row r="52" spans="4:14" ht="15.75" thickBot="1" x14ac:dyDescent="0.3">
      <c r="D52" s="356"/>
      <c r="E52" s="357">
        <f>SUM(E47:E51)</f>
        <v>1951.6696109629966</v>
      </c>
      <c r="F52" s="358"/>
      <c r="G52" s="359">
        <f>G47+G48+G49+G51</f>
        <v>23439.899999999998</v>
      </c>
      <c r="K52" s="360">
        <f>G52-E43-F43-K42</f>
        <v>-5.0000000002910383E-2</v>
      </c>
      <c r="M52" s="37"/>
    </row>
  </sheetData>
  <mergeCells count="53"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35:B35"/>
    <mergeCell ref="A36:B36"/>
    <mergeCell ref="A37:D37"/>
    <mergeCell ref="A38:D38"/>
    <mergeCell ref="J38:L38"/>
    <mergeCell ref="A44:C44"/>
    <mergeCell ref="M39:N39"/>
    <mergeCell ref="O39:P39"/>
    <mergeCell ref="A40:D40"/>
    <mergeCell ref="A41:D41"/>
    <mergeCell ref="A42:D42"/>
    <mergeCell ref="A43:D43"/>
    <mergeCell ref="A39:D39"/>
  </mergeCells>
  <conditionalFormatting sqref="Q7:Q11">
    <cfRule type="cellIs" dxfId="41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9271CF7-3757-4874-8794-EB455CEB8B67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45728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437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85" t="s">
        <v>28</v>
      </c>
      <c r="B7" s="24">
        <v>2579.5989046783043</v>
      </c>
      <c r="C7" s="25">
        <f>M34/2.0185</f>
        <v>0</v>
      </c>
      <c r="D7" s="26"/>
      <c r="E7" s="27"/>
      <c r="F7" s="28">
        <f>B7+C7+E7</f>
        <v>2579.5989046783043</v>
      </c>
      <c r="G7" s="29">
        <f>E47</f>
        <v>791.67230169050708</v>
      </c>
      <c r="H7" s="30"/>
      <c r="I7" s="30"/>
      <c r="J7" s="31">
        <f>E47</f>
        <v>791.67230169050708</v>
      </c>
      <c r="K7" s="24">
        <f>F7-J7-H7</f>
        <v>1787.9266029877972</v>
      </c>
      <c r="L7" s="32">
        <v>2800</v>
      </c>
      <c r="M7" s="32">
        <v>2000</v>
      </c>
      <c r="N7" s="33">
        <f>J7</f>
        <v>791.67230169050708</v>
      </c>
      <c r="O7" s="231">
        <f>+F47</f>
        <v>7.69</v>
      </c>
      <c r="P7" s="35">
        <f>N7*O7</f>
        <v>6087.96</v>
      </c>
      <c r="Q7" s="36">
        <f>+M7-K7</f>
        <v>212.0733970122028</v>
      </c>
      <c r="R7" s="37" t="s">
        <v>29</v>
      </c>
    </row>
    <row r="8" spans="1:18" s="37" customFormat="1" ht="33.75" x14ac:dyDescent="0.25">
      <c r="A8" s="485" t="s">
        <v>142</v>
      </c>
      <c r="B8" s="39">
        <v>703.61522979833717</v>
      </c>
      <c r="C8" s="40">
        <f>M30</f>
        <v>500</v>
      </c>
      <c r="D8" s="41"/>
      <c r="E8" s="42"/>
      <c r="F8" s="43">
        <f>B8+C8+E8</f>
        <v>1203.6152297983372</v>
      </c>
      <c r="G8" s="44">
        <f>E48</f>
        <v>181.68210405946257</v>
      </c>
      <c r="H8" s="42"/>
      <c r="I8" s="42"/>
      <c r="J8" s="45">
        <f>E48</f>
        <v>181.68210405946257</v>
      </c>
      <c r="K8" s="39">
        <f>F8-J8-H8</f>
        <v>1021.9331257388747</v>
      </c>
      <c r="L8" s="32">
        <v>690</v>
      </c>
      <c r="M8" s="32">
        <v>1000</v>
      </c>
      <c r="N8" s="46">
        <f>J8</f>
        <v>181.68210405946257</v>
      </c>
      <c r="O8" s="231">
        <f>+F48</f>
        <v>17.489999999999998</v>
      </c>
      <c r="P8" s="47">
        <f>N8*O8</f>
        <v>3177.6200000000003</v>
      </c>
      <c r="Q8" s="36">
        <f>+M8-K8</f>
        <v>-21.933125738874651</v>
      </c>
    </row>
    <row r="9" spans="1:18" s="37" customFormat="1" x14ac:dyDescent="0.25">
      <c r="A9" s="486" t="s">
        <v>143</v>
      </c>
      <c r="B9" s="39">
        <v>2567.4755115208472</v>
      </c>
      <c r="C9" s="40">
        <f>M31</f>
        <v>0</v>
      </c>
      <c r="D9" s="41"/>
      <c r="E9" s="42"/>
      <c r="F9" s="43">
        <f>B9+C9+E9</f>
        <v>2567.4755115208472</v>
      </c>
      <c r="G9" s="44">
        <f>E49</f>
        <v>570.62842574888464</v>
      </c>
      <c r="H9" s="42"/>
      <c r="I9" s="42"/>
      <c r="J9" s="45">
        <f>E49</f>
        <v>570.62842574888464</v>
      </c>
      <c r="K9" s="39">
        <f>F9-J9-H9</f>
        <v>1996.8470857719626</v>
      </c>
      <c r="L9" s="32">
        <v>2520</v>
      </c>
      <c r="M9" s="32">
        <v>1950</v>
      </c>
      <c r="N9" s="46">
        <f>J9</f>
        <v>570.62842574888464</v>
      </c>
      <c r="O9" s="231">
        <f>+F49</f>
        <v>15.69</v>
      </c>
      <c r="P9" s="47">
        <f>N9*O9</f>
        <v>8953.16</v>
      </c>
      <c r="Q9" s="36">
        <f>+M9-K9</f>
        <v>-46.847085771962611</v>
      </c>
    </row>
    <row r="10" spans="1:18" s="37" customFormat="1" ht="15.75" thickBot="1" x14ac:dyDescent="0.3">
      <c r="A10" s="487" t="s">
        <v>33</v>
      </c>
      <c r="B10" s="48">
        <v>2100.955409191808</v>
      </c>
      <c r="C10" s="49">
        <f>M33</f>
        <v>0</v>
      </c>
      <c r="D10" s="50"/>
      <c r="E10" s="51"/>
      <c r="F10" s="52">
        <f>B10+C10+E10</f>
        <v>2100.955409191808</v>
      </c>
      <c r="G10" s="53">
        <f>E51</f>
        <v>153.30339961513792</v>
      </c>
      <c r="H10" s="51"/>
      <c r="I10" s="51"/>
      <c r="J10" s="54">
        <f>E51</f>
        <v>153.30339961513792</v>
      </c>
      <c r="K10" s="48">
        <f>F10-J10-H10</f>
        <v>1947.65200957667</v>
      </c>
      <c r="L10" s="32">
        <v>2100</v>
      </c>
      <c r="M10" s="32">
        <v>1950</v>
      </c>
      <c r="N10" s="55">
        <f>J10</f>
        <v>153.30339961513792</v>
      </c>
      <c r="O10" s="231">
        <f>+F51</f>
        <v>15.59</v>
      </c>
      <c r="P10" s="56">
        <f>N10*O10</f>
        <v>2390</v>
      </c>
      <c r="Q10" s="36">
        <f>+M10-K10</f>
        <v>2.3479904233299749</v>
      </c>
    </row>
    <row r="11" spans="1:18" s="37" customFormat="1" ht="15.75" thickBot="1" x14ac:dyDescent="0.3">
      <c r="A11" s="57" t="s">
        <v>34</v>
      </c>
      <c r="B11" s="58">
        <f>B7+B8+B9+B10</f>
        <v>7951.6450551892967</v>
      </c>
      <c r="C11" s="59">
        <f>SUM(C7:C10)</f>
        <v>500</v>
      </c>
      <c r="D11" s="60"/>
      <c r="E11" s="61"/>
      <c r="F11" s="62">
        <f>SUM(F7:F10)</f>
        <v>8451.6450551892958</v>
      </c>
      <c r="G11" s="63">
        <f>SUM(G7:G10)</f>
        <v>1697.2862311139922</v>
      </c>
      <c r="H11" s="58"/>
      <c r="I11" s="58"/>
      <c r="J11" s="64">
        <f>SUM(J7:J10)</f>
        <v>1697.2862311139922</v>
      </c>
      <c r="K11" s="58">
        <f>SUM(K7:K10)</f>
        <v>6754.3588240753052</v>
      </c>
      <c r="L11" s="65" t="e">
        <f>L7+L8+L9+#REF!+L10</f>
        <v>#REF!</v>
      </c>
      <c r="M11" s="65" t="e">
        <f>M7+M8+M9+#REF!+M10</f>
        <v>#REF!</v>
      </c>
      <c r="N11" s="66">
        <f>SUM(N7:N10)</f>
        <v>1697.2862311139922</v>
      </c>
      <c r="O11" s="67"/>
      <c r="P11" s="68">
        <f>SUM(P7:P10)</f>
        <v>20608.739999999998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1697.2862311139922</v>
      </c>
      <c r="P13" s="83">
        <f>+P11</f>
        <v>20608.739999999998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5300.77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1956.76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13351.209999999997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>
        <v>500</v>
      </c>
      <c r="N30" s="141" t="s">
        <v>124</v>
      </c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123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4131.2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9220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3447.25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1853.52</v>
      </c>
      <c r="F42" s="327">
        <v>1956.76</v>
      </c>
      <c r="G42" s="322"/>
      <c r="H42" s="240"/>
      <c r="I42" s="426"/>
      <c r="J42" s="259" t="s">
        <v>34</v>
      </c>
      <c r="K42" s="328">
        <f>SUM(K39:K41)-K41</f>
        <v>13351.2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5300.77</v>
      </c>
      <c r="F43" s="327">
        <f>SUM(F41:F42)</f>
        <v>1956.76</v>
      </c>
      <c r="G43" s="322">
        <f>SUM(E43:F43)</f>
        <v>7257.5300000000007</v>
      </c>
      <c r="H43" s="240"/>
      <c r="I43" s="426"/>
      <c r="J43" s="229" t="s">
        <v>106</v>
      </c>
      <c r="K43" s="294">
        <f>P27-K42</f>
        <v>9.9999999965802999E-3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791.67230169050708</v>
      </c>
      <c r="F47" s="231">
        <v>7.69</v>
      </c>
      <c r="G47" s="349">
        <v>6087.96</v>
      </c>
      <c r="M47" s="37"/>
    </row>
    <row r="48" spans="1:16" x14ac:dyDescent="0.25">
      <c r="D48" s="350" t="s">
        <v>110</v>
      </c>
      <c r="E48" s="351">
        <f>+G48/F48</f>
        <v>181.68210405946257</v>
      </c>
      <c r="F48" s="218">
        <v>17.489999999999998</v>
      </c>
      <c r="G48" s="352">
        <v>3177.62</v>
      </c>
      <c r="M48" s="37"/>
    </row>
    <row r="49" spans="4:14" x14ac:dyDescent="0.25">
      <c r="D49" s="350" t="s">
        <v>111</v>
      </c>
      <c r="E49" s="351">
        <f>+G49/F49</f>
        <v>570.62842574888464</v>
      </c>
      <c r="F49" s="218">
        <v>15.69</v>
      </c>
      <c r="G49" s="352">
        <v>8953.16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153.30339961513792</v>
      </c>
      <c r="F51" s="222">
        <v>15.59</v>
      </c>
      <c r="G51" s="355">
        <v>2390</v>
      </c>
      <c r="M51" s="37"/>
      <c r="N51" s="37"/>
    </row>
    <row r="52" spans="4:14" ht="15.75" thickBot="1" x14ac:dyDescent="0.3">
      <c r="D52" s="356"/>
      <c r="E52" s="357">
        <f>SUM(E47:E51)</f>
        <v>1697.2862311139922</v>
      </c>
      <c r="F52" s="358"/>
      <c r="G52" s="359">
        <f>G47+G48+G49+G51</f>
        <v>20608.739999999998</v>
      </c>
      <c r="K52" s="360">
        <f>G52-E43-F43-K42</f>
        <v>9.9999999965802999E-3</v>
      </c>
      <c r="M52" s="37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39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12C6C89-9AEB-4BBE-8741-6BDF37690042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45729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438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82" t="s">
        <v>28</v>
      </c>
      <c r="B7" s="24">
        <v>1787.9266029877972</v>
      </c>
      <c r="C7" s="25">
        <f>M34/2.0185</f>
        <v>0</v>
      </c>
      <c r="D7" s="26"/>
      <c r="E7" s="27"/>
      <c r="F7" s="28">
        <f>B7+C7+E7</f>
        <v>1787.9266029877972</v>
      </c>
      <c r="G7" s="29">
        <f>E47</f>
        <v>811.01430429128732</v>
      </c>
      <c r="H7" s="30"/>
      <c r="I7" s="30"/>
      <c r="J7" s="31">
        <f>E47</f>
        <v>811.01430429128732</v>
      </c>
      <c r="K7" s="24">
        <f>F7-J7-H7</f>
        <v>976.91229869650988</v>
      </c>
      <c r="L7" s="32">
        <v>2000</v>
      </c>
      <c r="M7" s="32">
        <v>1100</v>
      </c>
      <c r="N7" s="33">
        <f>J7</f>
        <v>811.01430429128732</v>
      </c>
      <c r="O7" s="231">
        <f>+F47</f>
        <v>7.69</v>
      </c>
      <c r="P7" s="35">
        <f>N7*O7</f>
        <v>6236.7</v>
      </c>
      <c r="Q7" s="36">
        <f>+M7-K7</f>
        <v>123.08770130349012</v>
      </c>
      <c r="R7" s="37" t="s">
        <v>29</v>
      </c>
    </row>
    <row r="8" spans="1:18" s="37" customFormat="1" ht="33.75" x14ac:dyDescent="0.25">
      <c r="A8" s="482" t="s">
        <v>142</v>
      </c>
      <c r="B8" s="39">
        <v>1021.9331257388747</v>
      </c>
      <c r="C8" s="40">
        <f>M30</f>
        <v>0</v>
      </c>
      <c r="D8" s="41"/>
      <c r="E8" s="42"/>
      <c r="F8" s="43">
        <f>B8+C8+E8</f>
        <v>1021.9331257388747</v>
      </c>
      <c r="G8" s="44">
        <f>E48</f>
        <v>164.17267009719842</v>
      </c>
      <c r="H8" s="42"/>
      <c r="I8" s="42"/>
      <c r="J8" s="45">
        <f>E48</f>
        <v>164.17267009719842</v>
      </c>
      <c r="K8" s="39">
        <f>F8-J8-H8</f>
        <v>857.76045564167623</v>
      </c>
      <c r="L8" s="32">
        <v>1000</v>
      </c>
      <c r="M8" s="32">
        <v>840</v>
      </c>
      <c r="N8" s="46">
        <f>J8</f>
        <v>164.17267009719842</v>
      </c>
      <c r="O8" s="231">
        <f>+F48</f>
        <v>17.489999999999998</v>
      </c>
      <c r="P8" s="47">
        <f>N8*O8</f>
        <v>2871.38</v>
      </c>
      <c r="Q8" s="36">
        <f>+M8-K8</f>
        <v>-17.760455641676231</v>
      </c>
    </row>
    <row r="9" spans="1:18" s="37" customFormat="1" x14ac:dyDescent="0.25">
      <c r="A9" s="483" t="s">
        <v>143</v>
      </c>
      <c r="B9" s="39">
        <v>1996.8470857719626</v>
      </c>
      <c r="C9" s="40">
        <f>M31</f>
        <v>0</v>
      </c>
      <c r="D9" s="41"/>
      <c r="E9" s="42"/>
      <c r="F9" s="43">
        <f>B9+C9+E9</f>
        <v>1996.8470857719626</v>
      </c>
      <c r="G9" s="44">
        <f>E49</f>
        <v>551.729764181007</v>
      </c>
      <c r="H9" s="42"/>
      <c r="I9" s="42"/>
      <c r="J9" s="45">
        <f>E49</f>
        <v>551.729764181007</v>
      </c>
      <c r="K9" s="39">
        <f>F9-J9-H9</f>
        <v>1445.1173215909557</v>
      </c>
      <c r="L9" s="32">
        <v>1950</v>
      </c>
      <c r="M9" s="32">
        <v>1400</v>
      </c>
      <c r="N9" s="46">
        <f>J9</f>
        <v>551.729764181007</v>
      </c>
      <c r="O9" s="231">
        <f>+F49</f>
        <v>15.69</v>
      </c>
      <c r="P9" s="47">
        <f>N9*O9</f>
        <v>8656.64</v>
      </c>
      <c r="Q9" s="36">
        <f>+M9-K9</f>
        <v>-45.117321590955726</v>
      </c>
    </row>
    <row r="10" spans="1:18" s="37" customFormat="1" ht="15.75" thickBot="1" x14ac:dyDescent="0.3">
      <c r="A10" s="484" t="s">
        <v>33</v>
      </c>
      <c r="B10" s="48">
        <v>1947.65200957667</v>
      </c>
      <c r="C10" s="49">
        <f>M33</f>
        <v>0</v>
      </c>
      <c r="D10" s="50"/>
      <c r="E10" s="51"/>
      <c r="F10" s="52">
        <f>B10+C10+E10</f>
        <v>1947.65200957667</v>
      </c>
      <c r="G10" s="53">
        <f>E51</f>
        <v>248.78127004490057</v>
      </c>
      <c r="H10" s="51"/>
      <c r="I10" s="51"/>
      <c r="J10" s="54">
        <f>E51</f>
        <v>248.78127004490057</v>
      </c>
      <c r="K10" s="48">
        <f>F10-J10-H10</f>
        <v>1698.8707395317695</v>
      </c>
      <c r="L10" s="32">
        <v>1950</v>
      </c>
      <c r="M10" s="32">
        <v>1700</v>
      </c>
      <c r="N10" s="55">
        <f>J10</f>
        <v>248.78127004490057</v>
      </c>
      <c r="O10" s="231">
        <f>+F51</f>
        <v>15.59</v>
      </c>
      <c r="P10" s="56">
        <f>N10*O10</f>
        <v>3878.5</v>
      </c>
      <c r="Q10" s="36">
        <f>+M10-K10</f>
        <v>1.1292604682305409</v>
      </c>
    </row>
    <row r="11" spans="1:18" s="37" customFormat="1" ht="15.75" thickBot="1" x14ac:dyDescent="0.3">
      <c r="A11" s="57" t="s">
        <v>34</v>
      </c>
      <c r="B11" s="58">
        <f>B7+B8+B9+B10</f>
        <v>6754.3588240753052</v>
      </c>
      <c r="C11" s="59">
        <f>SUM(C7:C10)</f>
        <v>0</v>
      </c>
      <c r="D11" s="60"/>
      <c r="E11" s="61"/>
      <c r="F11" s="62">
        <f>SUM(F7:F10)</f>
        <v>6754.3588240753052</v>
      </c>
      <c r="G11" s="63">
        <f>SUM(G7:G10)</f>
        <v>1775.6980086143933</v>
      </c>
      <c r="H11" s="58"/>
      <c r="I11" s="58"/>
      <c r="J11" s="64">
        <f>SUM(J7:J10)</f>
        <v>1775.6980086143933</v>
      </c>
      <c r="K11" s="58">
        <f>SUM(K7:K10)</f>
        <v>4978.6608154609112</v>
      </c>
      <c r="L11" s="65" t="e">
        <f>L7+L8+L9+#REF!+L10</f>
        <v>#REF!</v>
      </c>
      <c r="M11" s="65" t="e">
        <f>M7+M8+M9+#REF!+M10</f>
        <v>#REF!</v>
      </c>
      <c r="N11" s="66">
        <f>SUM(N7:N10)</f>
        <v>1775.6980086143933</v>
      </c>
      <c r="O11" s="67"/>
      <c r="P11" s="68">
        <f>SUM(P7:P10)</f>
        <v>21643.22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1775.6980086143933</v>
      </c>
      <c r="P13" s="83">
        <f>+P11</f>
        <v>21643.22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3726.48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1727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16189.740000000002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123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4509.7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11679.9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2630.98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1095.5</v>
      </c>
      <c r="F42" s="327">
        <v>1727</v>
      </c>
      <c r="G42" s="322"/>
      <c r="H42" s="240"/>
      <c r="I42" s="426"/>
      <c r="J42" s="259" t="s">
        <v>34</v>
      </c>
      <c r="K42" s="328">
        <f>SUM(K39:K41)-K41</f>
        <v>16189.599999999999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3726.48</v>
      </c>
      <c r="F43" s="327">
        <f>SUM(F41:F42)</f>
        <v>1727</v>
      </c>
      <c r="G43" s="322">
        <f>SUM(E43:F43)</f>
        <v>5453.48</v>
      </c>
      <c r="H43" s="240"/>
      <c r="I43" s="426"/>
      <c r="J43" s="229" t="s">
        <v>106</v>
      </c>
      <c r="K43" s="294">
        <f>P27-K42</f>
        <v>0.1400000000030559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811.01430429128732</v>
      </c>
      <c r="F47" s="231">
        <v>7.69</v>
      </c>
      <c r="G47" s="349">
        <v>6236.7</v>
      </c>
      <c r="M47" s="37"/>
    </row>
    <row r="48" spans="1:16" x14ac:dyDescent="0.25">
      <c r="D48" s="350" t="s">
        <v>110</v>
      </c>
      <c r="E48" s="351">
        <f>+G48/F48</f>
        <v>164.17267009719842</v>
      </c>
      <c r="F48" s="218">
        <v>17.489999999999998</v>
      </c>
      <c r="G48" s="352">
        <v>2871.38</v>
      </c>
      <c r="M48" s="37"/>
    </row>
    <row r="49" spans="4:14" x14ac:dyDescent="0.25">
      <c r="D49" s="350" t="s">
        <v>111</v>
      </c>
      <c r="E49" s="351">
        <f>+G49/F49</f>
        <v>551.729764181007</v>
      </c>
      <c r="F49" s="218">
        <v>15.69</v>
      </c>
      <c r="G49" s="352">
        <v>8656.64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248.78127004490057</v>
      </c>
      <c r="F51" s="222">
        <v>15.59</v>
      </c>
      <c r="G51" s="355">
        <v>3878.5</v>
      </c>
      <c r="M51" s="37"/>
      <c r="N51" s="37"/>
    </row>
    <row r="52" spans="4:14" ht="15.75" thickBot="1" x14ac:dyDescent="0.3">
      <c r="D52" s="356"/>
      <c r="E52" s="357">
        <f>SUM(E47:E51)</f>
        <v>1775.6980086143933</v>
      </c>
      <c r="F52" s="358"/>
      <c r="G52" s="359">
        <f>G47+G48+G49+G51</f>
        <v>21643.22</v>
      </c>
      <c r="K52" s="360">
        <f>G52-E43-F43-K42</f>
        <v>0.1400000000030559</v>
      </c>
      <c r="M52" s="37"/>
    </row>
  </sheetData>
  <mergeCells count="53"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35:B35"/>
    <mergeCell ref="A36:B36"/>
    <mergeCell ref="A37:D37"/>
    <mergeCell ref="A38:D38"/>
    <mergeCell ref="J38:L38"/>
    <mergeCell ref="A44:C44"/>
    <mergeCell ref="M39:N39"/>
    <mergeCell ref="O39:P39"/>
    <mergeCell ref="A40:D40"/>
    <mergeCell ref="A41:D41"/>
    <mergeCell ref="A42:D42"/>
    <mergeCell ref="A43:D43"/>
    <mergeCell ref="A39:D39"/>
  </mergeCells>
  <conditionalFormatting sqref="Q7:Q11">
    <cfRule type="cellIs" dxfId="37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2FB4910-2DBA-48B0-8275-4F9E23A5334D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45730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439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79" t="s">
        <v>28</v>
      </c>
      <c r="B7" s="24">
        <v>976.91229869650988</v>
      </c>
      <c r="C7" s="25">
        <f>M34/2.0185</f>
        <v>2373.0492940302206</v>
      </c>
      <c r="D7" s="26"/>
      <c r="E7" s="27"/>
      <c r="F7" s="28">
        <f>B7+C7+E7</f>
        <v>3349.9615927267305</v>
      </c>
      <c r="G7" s="29">
        <f>E47</f>
        <v>891.49544863459039</v>
      </c>
      <c r="H7" s="30"/>
      <c r="I7" s="30"/>
      <c r="J7" s="31">
        <f>E47</f>
        <v>891.49544863459039</v>
      </c>
      <c r="K7" s="24">
        <f>F7-J7-H7</f>
        <v>2458.46614409214</v>
      </c>
      <c r="L7" s="32">
        <v>1100</v>
      </c>
      <c r="M7" s="32">
        <v>2600</v>
      </c>
      <c r="N7" s="33">
        <f>J7</f>
        <v>891.49544863459039</v>
      </c>
      <c r="O7" s="231">
        <f>+F47</f>
        <v>7.69</v>
      </c>
      <c r="P7" s="35">
        <f>N7*O7</f>
        <v>6855.6</v>
      </c>
      <c r="Q7" s="36">
        <f>+M7-K7</f>
        <v>141.53385590786002</v>
      </c>
      <c r="R7" s="37" t="s">
        <v>29</v>
      </c>
    </row>
    <row r="8" spans="1:18" s="37" customFormat="1" ht="33.75" x14ac:dyDescent="0.25">
      <c r="A8" s="479" t="s">
        <v>142</v>
      </c>
      <c r="B8" s="39">
        <v>857.76045564167623</v>
      </c>
      <c r="C8" s="40">
        <f>M30</f>
        <v>0</v>
      </c>
      <c r="D8" s="41"/>
      <c r="E8" s="42"/>
      <c r="F8" s="43">
        <f>B8+C8+E8</f>
        <v>857.76045564167623</v>
      </c>
      <c r="G8" s="44">
        <f>E48</f>
        <v>148.22012578616352</v>
      </c>
      <c r="H8" s="42"/>
      <c r="I8" s="42"/>
      <c r="J8" s="45">
        <f>E48</f>
        <v>148.22012578616352</v>
      </c>
      <c r="K8" s="39">
        <f>F8-J8-H8</f>
        <v>709.54032985551271</v>
      </c>
      <c r="L8" s="32">
        <v>840</v>
      </c>
      <c r="M8" s="32">
        <v>690</v>
      </c>
      <c r="N8" s="46">
        <f>J8</f>
        <v>148.22012578616352</v>
      </c>
      <c r="O8" s="231">
        <f>+F48</f>
        <v>17.489999999999998</v>
      </c>
      <c r="P8" s="47">
        <f>N8*O8</f>
        <v>2592.37</v>
      </c>
      <c r="Q8" s="36">
        <f>+M8-K8</f>
        <v>-19.540329855512709</v>
      </c>
    </row>
    <row r="9" spans="1:18" s="37" customFormat="1" x14ac:dyDescent="0.25">
      <c r="A9" s="480" t="s">
        <v>143</v>
      </c>
      <c r="B9" s="39">
        <v>1445.1173215909557</v>
      </c>
      <c r="C9" s="40">
        <f>M31</f>
        <v>0</v>
      </c>
      <c r="D9" s="41"/>
      <c r="E9" s="42"/>
      <c r="F9" s="43">
        <f>B9+C9+E9</f>
        <v>1445.1173215909557</v>
      </c>
      <c r="G9" s="44">
        <f>E49</f>
        <v>595.99043977055453</v>
      </c>
      <c r="H9" s="42"/>
      <c r="I9" s="42"/>
      <c r="J9" s="45">
        <f>E49</f>
        <v>595.99043977055453</v>
      </c>
      <c r="K9" s="39">
        <f>F9-J9-H9</f>
        <v>849.1268818204012</v>
      </c>
      <c r="L9" s="32">
        <v>1400</v>
      </c>
      <c r="M9" s="32">
        <v>800</v>
      </c>
      <c r="N9" s="46">
        <f>J9</f>
        <v>595.99043977055453</v>
      </c>
      <c r="O9" s="231">
        <f>+F49</f>
        <v>15.69</v>
      </c>
      <c r="P9" s="47">
        <f>N9*O9</f>
        <v>9351.09</v>
      </c>
      <c r="Q9" s="36">
        <f>+M9-K9</f>
        <v>-49.126881820401195</v>
      </c>
    </row>
    <row r="10" spans="1:18" s="37" customFormat="1" ht="15.75" thickBot="1" x14ac:dyDescent="0.3">
      <c r="A10" s="481" t="s">
        <v>33</v>
      </c>
      <c r="B10" s="48">
        <v>1698.8707395317695</v>
      </c>
      <c r="C10" s="49">
        <f>M33</f>
        <v>0</v>
      </c>
      <c r="D10" s="50"/>
      <c r="E10" s="51"/>
      <c r="F10" s="52">
        <f>B10+C10+E10</f>
        <v>1698.8707395317695</v>
      </c>
      <c r="G10" s="53">
        <f>E51</f>
        <v>292.20012828736367</v>
      </c>
      <c r="H10" s="51"/>
      <c r="I10" s="51"/>
      <c r="J10" s="54">
        <f>E51</f>
        <v>292.20012828736367</v>
      </c>
      <c r="K10" s="48">
        <f>F10-J10-H10</f>
        <v>1406.6706112444058</v>
      </c>
      <c r="L10" s="32">
        <v>1700</v>
      </c>
      <c r="M10" s="32">
        <v>1410</v>
      </c>
      <c r="N10" s="55">
        <f>J10</f>
        <v>292.20012828736367</v>
      </c>
      <c r="O10" s="231">
        <f>+F51</f>
        <v>15.59</v>
      </c>
      <c r="P10" s="56">
        <f>N10*O10</f>
        <v>4555.3999999999996</v>
      </c>
      <c r="Q10" s="36">
        <f>+M10-K10</f>
        <v>3.3293887555942092</v>
      </c>
    </row>
    <row r="11" spans="1:18" s="37" customFormat="1" ht="15.75" thickBot="1" x14ac:dyDescent="0.3">
      <c r="A11" s="57" t="s">
        <v>34</v>
      </c>
      <c r="B11" s="58">
        <f>B7+B8+B9+B10</f>
        <v>4978.6608154609112</v>
      </c>
      <c r="C11" s="59">
        <f>SUM(C7:C10)</f>
        <v>2373.0492940302206</v>
      </c>
      <c r="D11" s="60"/>
      <c r="E11" s="61"/>
      <c r="F11" s="62">
        <f>SUM(F7:F10)</f>
        <v>7351.7101094911322</v>
      </c>
      <c r="G11" s="63">
        <f>SUM(G7:G10)</f>
        <v>1927.9061424786721</v>
      </c>
      <c r="H11" s="58"/>
      <c r="I11" s="58"/>
      <c r="J11" s="64">
        <f>SUM(J7:J10)</f>
        <v>1927.9061424786721</v>
      </c>
      <c r="K11" s="58">
        <f>SUM(K7:K10)</f>
        <v>5423.8039670124599</v>
      </c>
      <c r="L11" s="65" t="e">
        <f>L7+L8+L9+#REF!+L10</f>
        <v>#REF!</v>
      </c>
      <c r="M11" s="65" t="e">
        <f>M7+M8+M9+#REF!+M10</f>
        <v>#REF!</v>
      </c>
      <c r="N11" s="66">
        <f>SUM(N7:N10)</f>
        <v>1927.9061424786721</v>
      </c>
      <c r="O11" s="67"/>
      <c r="P11" s="68">
        <f>SUM(P7:P10)</f>
        <v>23354.46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1927.9061424786721</v>
      </c>
      <c r="P13" s="83">
        <f>+P11</f>
        <v>23354.46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5304.74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1675.5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16374.220000000001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>
        <v>4790</v>
      </c>
      <c r="N34" s="141" t="s">
        <v>125</v>
      </c>
      <c r="O34" s="147"/>
      <c r="P34" s="152" t="s">
        <v>120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5180.1000000000004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11194.2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2845.87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2458.87</v>
      </c>
      <c r="F42" s="327">
        <v>1675.5</v>
      </c>
      <c r="G42" s="322"/>
      <c r="H42" s="240"/>
      <c r="I42" s="426"/>
      <c r="J42" s="259" t="s">
        <v>34</v>
      </c>
      <c r="K42" s="328">
        <f>SUM(K39:K41)-K41</f>
        <v>16374.300000000001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5304.74</v>
      </c>
      <c r="F43" s="327">
        <f>SUM(F41:F42)</f>
        <v>1675.5</v>
      </c>
      <c r="G43" s="322">
        <f>SUM(E43:F43)</f>
        <v>6980.24</v>
      </c>
      <c r="H43" s="240"/>
      <c r="I43" s="426"/>
      <c r="J43" s="229" t="s">
        <v>106</v>
      </c>
      <c r="K43" s="294">
        <f>P27-K42</f>
        <v>-7.999999999992724E-2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891.49544863459039</v>
      </c>
      <c r="F47" s="231">
        <v>7.69</v>
      </c>
      <c r="G47" s="349">
        <v>6855.6</v>
      </c>
      <c r="M47" s="37"/>
    </row>
    <row r="48" spans="1:16" x14ac:dyDescent="0.25">
      <c r="D48" s="350" t="s">
        <v>110</v>
      </c>
      <c r="E48" s="351">
        <f>+G48/F48</f>
        <v>148.22012578616352</v>
      </c>
      <c r="F48" s="218">
        <v>17.489999999999998</v>
      </c>
      <c r="G48" s="352">
        <v>2592.37</v>
      </c>
      <c r="M48" s="37"/>
    </row>
    <row r="49" spans="4:14" x14ac:dyDescent="0.25">
      <c r="D49" s="350" t="s">
        <v>111</v>
      </c>
      <c r="E49" s="351">
        <f>+G49/F49</f>
        <v>595.99043977055453</v>
      </c>
      <c r="F49" s="218">
        <v>15.69</v>
      </c>
      <c r="G49" s="352">
        <v>9351.09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292.20012828736367</v>
      </c>
      <c r="F51" s="222">
        <v>15.59</v>
      </c>
      <c r="G51" s="355">
        <v>4555.3999999999996</v>
      </c>
      <c r="M51" s="37"/>
      <c r="N51" s="37"/>
    </row>
    <row r="52" spans="4:14" ht="15.75" thickBot="1" x14ac:dyDescent="0.3">
      <c r="D52" s="356"/>
      <c r="E52" s="357">
        <f>SUM(E47:E51)</f>
        <v>1927.9061424786721</v>
      </c>
      <c r="F52" s="358"/>
      <c r="G52" s="359">
        <f>G47+G48+G49+G51</f>
        <v>23354.46</v>
      </c>
      <c r="K52" s="360">
        <f>G52-E43-F43-K42</f>
        <v>-7.999999999992724E-2</v>
      </c>
      <c r="M52" s="37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35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F8A1CE78-A0BF-4C79-90A6-CC9D1F97D4E8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45731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440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76" t="s">
        <v>28</v>
      </c>
      <c r="B7" s="24">
        <v>2458.46614409214</v>
      </c>
      <c r="C7" s="25">
        <f>M34/2.0185</f>
        <v>1862.7693832053506</v>
      </c>
      <c r="D7" s="26"/>
      <c r="E7" s="27"/>
      <c r="F7" s="28">
        <f>B7+C7+E7</f>
        <v>4321.235527297491</v>
      </c>
      <c r="G7" s="29">
        <f>E47</f>
        <v>949.99089726918078</v>
      </c>
      <c r="H7" s="30"/>
      <c r="I7" s="30"/>
      <c r="J7" s="31">
        <f>E47</f>
        <v>949.99089726918078</v>
      </c>
      <c r="K7" s="24">
        <f>F7-J7-H7</f>
        <v>3371.24463002831</v>
      </c>
      <c r="L7" s="32">
        <v>2600</v>
      </c>
      <c r="M7" s="32">
        <v>3500</v>
      </c>
      <c r="N7" s="33">
        <f>J7</f>
        <v>949.99089726918078</v>
      </c>
      <c r="O7" s="231">
        <f>+F47</f>
        <v>7.69</v>
      </c>
      <c r="P7" s="35">
        <f>N7*O7</f>
        <v>7305.43</v>
      </c>
      <c r="Q7" s="36">
        <f>+M7-K7</f>
        <v>128.75536997169002</v>
      </c>
      <c r="R7" s="37" t="s">
        <v>29</v>
      </c>
    </row>
    <row r="8" spans="1:18" s="37" customFormat="1" ht="33.75" x14ac:dyDescent="0.25">
      <c r="A8" s="476" t="s">
        <v>142</v>
      </c>
      <c r="B8" s="39">
        <v>709.54032985551271</v>
      </c>
      <c r="C8" s="40">
        <f>M30</f>
        <v>1150</v>
      </c>
      <c r="D8" s="41"/>
      <c r="E8" s="42"/>
      <c r="F8" s="43">
        <f>B8+C8+E8</f>
        <v>1859.5403298555127</v>
      </c>
      <c r="G8" s="44">
        <f>E48</f>
        <v>161.65980560320185</v>
      </c>
      <c r="H8" s="42"/>
      <c r="I8" s="42"/>
      <c r="J8" s="45">
        <f>E48</f>
        <v>161.65980560320185</v>
      </c>
      <c r="K8" s="39">
        <f>F8-J8-H8</f>
        <v>1697.8805242523108</v>
      </c>
      <c r="L8" s="32">
        <v>690</v>
      </c>
      <c r="M8" s="32">
        <v>1670</v>
      </c>
      <c r="N8" s="46">
        <f>J8</f>
        <v>161.65980560320185</v>
      </c>
      <c r="O8" s="231">
        <f>+F48</f>
        <v>17.489999999999998</v>
      </c>
      <c r="P8" s="47">
        <f>N8*O8</f>
        <v>2827.43</v>
      </c>
      <c r="Q8" s="36">
        <f>+M8-K8</f>
        <v>-27.880524252310806</v>
      </c>
    </row>
    <row r="9" spans="1:18" s="37" customFormat="1" x14ac:dyDescent="0.25">
      <c r="A9" s="477" t="s">
        <v>143</v>
      </c>
      <c r="B9" s="39">
        <v>849.1268818204012</v>
      </c>
      <c r="C9" s="40">
        <f>M31</f>
        <v>2850</v>
      </c>
      <c r="D9" s="41"/>
      <c r="E9" s="42"/>
      <c r="F9" s="43">
        <f>B9+C9+E9</f>
        <v>3699.1268818204012</v>
      </c>
      <c r="G9" s="44">
        <f>E49</f>
        <v>626.0382409177821</v>
      </c>
      <c r="H9" s="42"/>
      <c r="I9" s="42"/>
      <c r="J9" s="45">
        <f>E49</f>
        <v>626.0382409177821</v>
      </c>
      <c r="K9" s="39">
        <f>F9-J9-H9</f>
        <v>3073.0886409026189</v>
      </c>
      <c r="L9" s="32">
        <v>800</v>
      </c>
      <c r="M9" s="32">
        <v>3020</v>
      </c>
      <c r="N9" s="46">
        <f>J9</f>
        <v>626.0382409177821</v>
      </c>
      <c r="O9" s="231">
        <f>+F49</f>
        <v>15.69</v>
      </c>
      <c r="P9" s="47">
        <f>N9*O9</f>
        <v>9822.5400000000009</v>
      </c>
      <c r="Q9" s="36">
        <f>+M9-K9</f>
        <v>-53.088640902618863</v>
      </c>
    </row>
    <row r="10" spans="1:18" s="37" customFormat="1" ht="15.75" thickBot="1" x14ac:dyDescent="0.3">
      <c r="A10" s="478" t="s">
        <v>33</v>
      </c>
      <c r="B10" s="48">
        <v>1406.6706112444058</v>
      </c>
      <c r="C10" s="49">
        <f>M33</f>
        <v>0</v>
      </c>
      <c r="D10" s="50"/>
      <c r="E10" s="51"/>
      <c r="F10" s="52">
        <f>B10+C10+E10</f>
        <v>1406.6706112444058</v>
      </c>
      <c r="G10" s="53">
        <f>E51</f>
        <v>159.30532392559334</v>
      </c>
      <c r="H10" s="51"/>
      <c r="I10" s="51"/>
      <c r="J10" s="54">
        <f>E51</f>
        <v>159.30532392559334</v>
      </c>
      <c r="K10" s="48">
        <f>F10-J10-H10</f>
        <v>1247.3652873188125</v>
      </c>
      <c r="L10" s="32">
        <v>1410</v>
      </c>
      <c r="M10" s="32">
        <v>1250</v>
      </c>
      <c r="N10" s="55">
        <f>J10</f>
        <v>159.30532392559334</v>
      </c>
      <c r="O10" s="231">
        <f>+F51</f>
        <v>15.59</v>
      </c>
      <c r="P10" s="56">
        <f>N10*O10</f>
        <v>2483.5700000000002</v>
      </c>
      <c r="Q10" s="36">
        <f>+M10-K10</f>
        <v>2.6347126811874659</v>
      </c>
    </row>
    <row r="11" spans="1:18" s="37" customFormat="1" ht="15.75" thickBot="1" x14ac:dyDescent="0.3">
      <c r="A11" s="57" t="s">
        <v>34</v>
      </c>
      <c r="B11" s="58">
        <f>B7+B8+B9+B10</f>
        <v>5423.8039670124599</v>
      </c>
      <c r="C11" s="59">
        <f>SUM(C7:C10)</f>
        <v>5862.7693832053501</v>
      </c>
      <c r="D11" s="60"/>
      <c r="E11" s="61"/>
      <c r="F11" s="62">
        <f>SUM(F7:F10)</f>
        <v>11286.573350217812</v>
      </c>
      <c r="G11" s="63">
        <f>SUM(G7:G10)</f>
        <v>1896.994267715758</v>
      </c>
      <c r="H11" s="58"/>
      <c r="I11" s="58"/>
      <c r="J11" s="64">
        <f>SUM(J7:J10)</f>
        <v>1896.994267715758</v>
      </c>
      <c r="K11" s="58">
        <f>SUM(K7:K10)</f>
        <v>9389.5790825020522</v>
      </c>
      <c r="L11" s="65" t="e">
        <f>L7+L8+L9+#REF!+L10</f>
        <v>#REF!</v>
      </c>
      <c r="M11" s="65" t="e">
        <f>M7+M8+M9+#REF!+M10</f>
        <v>#REF!</v>
      </c>
      <c r="N11" s="66">
        <f>SUM(N7:N10)</f>
        <v>1896.994267715758</v>
      </c>
      <c r="O11" s="67"/>
      <c r="P11" s="68">
        <f>SUM(P7:P10)</f>
        <v>22438.97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1896.994267715758</v>
      </c>
      <c r="P13" s="83">
        <f>+P11</f>
        <v>22438.97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4349.33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3736.73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300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14052.91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>
        <v>1150</v>
      </c>
      <c r="N30" s="141" t="s">
        <v>126</v>
      </c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>
        <v>2850</v>
      </c>
      <c r="N31" s="141" t="s">
        <v>126</v>
      </c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>
        <v>3760</v>
      </c>
      <c r="N34" s="141" t="s">
        <v>127</v>
      </c>
      <c r="O34" s="147"/>
      <c r="P34" s="152" t="s">
        <v>86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3568.7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10484.200000000001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2718.03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1631.3</v>
      </c>
      <c r="F42" s="327">
        <v>3736.73</v>
      </c>
      <c r="G42" s="322"/>
      <c r="H42" s="240"/>
      <c r="I42" s="426"/>
      <c r="J42" s="259" t="s">
        <v>34</v>
      </c>
      <c r="K42" s="328">
        <f>SUM(K39:K41)-K41</f>
        <v>14052.900000000001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4349.33</v>
      </c>
      <c r="F43" s="327">
        <f>SUM(F41:F42)</f>
        <v>3736.73</v>
      </c>
      <c r="G43" s="322">
        <f>SUM(E43:F43)</f>
        <v>8086.0599999999995</v>
      </c>
      <c r="H43" s="240"/>
      <c r="I43" s="426"/>
      <c r="J43" s="229" t="s">
        <v>106</v>
      </c>
      <c r="K43" s="294">
        <f>P27-K42</f>
        <v>9.9999999983992893E-3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949.99089726918078</v>
      </c>
      <c r="F47" s="231">
        <v>7.69</v>
      </c>
      <c r="G47" s="349">
        <v>7305.43</v>
      </c>
      <c r="M47" s="37"/>
    </row>
    <row r="48" spans="1:16" x14ac:dyDescent="0.25">
      <c r="D48" s="350" t="s">
        <v>110</v>
      </c>
      <c r="E48" s="351">
        <f>+G48/F48</f>
        <v>161.65980560320185</v>
      </c>
      <c r="F48" s="218">
        <v>17.489999999999998</v>
      </c>
      <c r="G48" s="352">
        <v>2827.43</v>
      </c>
      <c r="M48" s="37"/>
    </row>
    <row r="49" spans="4:14" x14ac:dyDescent="0.25">
      <c r="D49" s="350" t="s">
        <v>111</v>
      </c>
      <c r="E49" s="351">
        <f>+G49/F49</f>
        <v>626.0382409177821</v>
      </c>
      <c r="F49" s="218">
        <v>15.69</v>
      </c>
      <c r="G49" s="352">
        <v>9822.5400000000009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159.30532392559334</v>
      </c>
      <c r="F51" s="222">
        <v>15.59</v>
      </c>
      <c r="G51" s="355">
        <v>2483.5700000000002</v>
      </c>
      <c r="M51" s="37"/>
      <c r="N51" s="37"/>
    </row>
    <row r="52" spans="4:14" ht="15.75" thickBot="1" x14ac:dyDescent="0.3">
      <c r="D52" s="356"/>
      <c r="E52" s="357">
        <f>SUM(E47:E51)</f>
        <v>1896.994267715758</v>
      </c>
      <c r="F52" s="358"/>
      <c r="G52" s="359">
        <f>G47+G48+G49+G51</f>
        <v>22438.97</v>
      </c>
      <c r="K52" s="360">
        <f>G52-E43-F43-K42</f>
        <v>300.0099999999984</v>
      </c>
      <c r="M52" s="37"/>
    </row>
  </sheetData>
  <mergeCells count="53"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35:B35"/>
    <mergeCell ref="A36:B36"/>
    <mergeCell ref="A37:D37"/>
    <mergeCell ref="A38:D38"/>
    <mergeCell ref="J38:L38"/>
    <mergeCell ref="A44:C44"/>
    <mergeCell ref="M39:N39"/>
    <mergeCell ref="O39:P39"/>
    <mergeCell ref="A40:D40"/>
    <mergeCell ref="A41:D41"/>
    <mergeCell ref="A42:D42"/>
    <mergeCell ref="A43:D43"/>
    <mergeCell ref="A39:D39"/>
  </mergeCells>
  <conditionalFormatting sqref="Q7:Q11">
    <cfRule type="cellIs" dxfId="33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AD738F1-3133-4393-A848-F9A3FF1A1337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45732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441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73" t="s">
        <v>28</v>
      </c>
      <c r="B7" s="24">
        <v>3371.24463002831</v>
      </c>
      <c r="C7" s="25">
        <f>M34/2.0185</f>
        <v>0</v>
      </c>
      <c r="D7" s="26"/>
      <c r="E7" s="27"/>
      <c r="F7" s="28">
        <f>B7+C7+E7</f>
        <v>3371.24463002831</v>
      </c>
      <c r="G7" s="29">
        <f>E47</f>
        <v>763.34070221066315</v>
      </c>
      <c r="H7" s="30"/>
      <c r="I7" s="30"/>
      <c r="J7" s="31">
        <f>E47</f>
        <v>763.34070221066315</v>
      </c>
      <c r="K7" s="24">
        <f>F7-J7-H7</f>
        <v>2607.9039278176469</v>
      </c>
      <c r="L7" s="32">
        <v>3500</v>
      </c>
      <c r="M7" s="32">
        <v>2800</v>
      </c>
      <c r="N7" s="33">
        <f>J7</f>
        <v>763.34070221066315</v>
      </c>
      <c r="O7" s="231">
        <f>+F47</f>
        <v>7.69</v>
      </c>
      <c r="P7" s="35">
        <f>N7*O7</f>
        <v>5870.09</v>
      </c>
      <c r="Q7" s="36">
        <f>+M7-K7</f>
        <v>192.09607218235305</v>
      </c>
      <c r="R7" s="37" t="s">
        <v>29</v>
      </c>
    </row>
    <row r="8" spans="1:18" s="37" customFormat="1" ht="33.75" x14ac:dyDescent="0.25">
      <c r="A8" s="473" t="s">
        <v>142</v>
      </c>
      <c r="B8" s="39">
        <v>1697.8805242523108</v>
      </c>
      <c r="C8" s="40">
        <f>M30</f>
        <v>0</v>
      </c>
      <c r="D8" s="41"/>
      <c r="E8" s="42"/>
      <c r="F8" s="43">
        <f>B8+C8+E8</f>
        <v>1697.8805242523108</v>
      </c>
      <c r="G8" s="44">
        <f>E48</f>
        <v>185.98856489422528</v>
      </c>
      <c r="H8" s="42"/>
      <c r="I8" s="42"/>
      <c r="J8" s="45">
        <f>E48</f>
        <v>185.98856489422528</v>
      </c>
      <c r="K8" s="39">
        <f>F8-J8-H8</f>
        <v>1511.8919593580856</v>
      </c>
      <c r="L8" s="32">
        <v>1670</v>
      </c>
      <c r="M8" s="32">
        <v>1490</v>
      </c>
      <c r="N8" s="46">
        <f>J8</f>
        <v>185.98856489422528</v>
      </c>
      <c r="O8" s="231">
        <f>+F48</f>
        <v>17.489999999999998</v>
      </c>
      <c r="P8" s="47">
        <f>N8*O8</f>
        <v>3252.9399999999996</v>
      </c>
      <c r="Q8" s="36">
        <f>+M8-K8</f>
        <v>-21.891959358085614</v>
      </c>
    </row>
    <row r="9" spans="1:18" s="37" customFormat="1" x14ac:dyDescent="0.25">
      <c r="A9" s="474" t="s">
        <v>143</v>
      </c>
      <c r="B9" s="39">
        <v>3073.0886409026189</v>
      </c>
      <c r="C9" s="40">
        <f>M31</f>
        <v>0</v>
      </c>
      <c r="D9" s="41"/>
      <c r="E9" s="42"/>
      <c r="F9" s="43">
        <f>B9+C9+E9</f>
        <v>3073.0886409026189</v>
      </c>
      <c r="G9" s="44">
        <f>E49</f>
        <v>612.83237731038878</v>
      </c>
      <c r="H9" s="42"/>
      <c r="I9" s="42"/>
      <c r="J9" s="45">
        <f>E49</f>
        <v>612.83237731038878</v>
      </c>
      <c r="K9" s="39">
        <f>F9-J9-H9</f>
        <v>2460.25626359223</v>
      </c>
      <c r="L9" s="32">
        <v>3020</v>
      </c>
      <c r="M9" s="32">
        <v>2420</v>
      </c>
      <c r="N9" s="46">
        <f>J9</f>
        <v>612.83237731038878</v>
      </c>
      <c r="O9" s="231">
        <f>+F49</f>
        <v>15.69</v>
      </c>
      <c r="P9" s="47">
        <f>N9*O9</f>
        <v>9615.34</v>
      </c>
      <c r="Q9" s="36">
        <f>+M9-K9</f>
        <v>-40.256263592229971</v>
      </c>
    </row>
    <row r="10" spans="1:18" s="37" customFormat="1" ht="15.75" thickBot="1" x14ac:dyDescent="0.3">
      <c r="A10" s="475" t="s">
        <v>33</v>
      </c>
      <c r="B10" s="48">
        <v>1247.3652873188125</v>
      </c>
      <c r="C10" s="49">
        <f>M33</f>
        <v>0</v>
      </c>
      <c r="D10" s="50"/>
      <c r="E10" s="51"/>
      <c r="F10" s="52">
        <f>B10+C10+E10</f>
        <v>1247.3652873188125</v>
      </c>
      <c r="G10" s="53">
        <f>E51</f>
        <v>117.19563822963438</v>
      </c>
      <c r="H10" s="51"/>
      <c r="I10" s="51"/>
      <c r="J10" s="54">
        <f>E51</f>
        <v>117.19563822963438</v>
      </c>
      <c r="K10" s="48">
        <f>F10-J10-H10</f>
        <v>1130.1696490891782</v>
      </c>
      <c r="L10" s="32">
        <v>1250</v>
      </c>
      <c r="M10" s="32">
        <v>1130</v>
      </c>
      <c r="N10" s="55">
        <f>J10</f>
        <v>117.19563822963438</v>
      </c>
      <c r="O10" s="231">
        <f>+F51</f>
        <v>15.59</v>
      </c>
      <c r="P10" s="56">
        <f>N10*O10</f>
        <v>1827.08</v>
      </c>
      <c r="Q10" s="36">
        <f>+M10-K10</f>
        <v>-0.16964908917816501</v>
      </c>
    </row>
    <row r="11" spans="1:18" s="37" customFormat="1" ht="15.75" thickBot="1" x14ac:dyDescent="0.3">
      <c r="A11" s="57" t="s">
        <v>34</v>
      </c>
      <c r="B11" s="58">
        <f>B7+B8+B9+B10</f>
        <v>9389.5790825020522</v>
      </c>
      <c r="C11" s="59">
        <f>SUM(C7:C10)</f>
        <v>0</v>
      </c>
      <c r="D11" s="60"/>
      <c r="E11" s="61"/>
      <c r="F11" s="62">
        <f>SUM(F7:F10)</f>
        <v>9389.5790825020522</v>
      </c>
      <c r="G11" s="63">
        <f>SUM(G7:G10)</f>
        <v>1679.3572826449117</v>
      </c>
      <c r="H11" s="58"/>
      <c r="I11" s="58"/>
      <c r="J11" s="64">
        <f>SUM(J7:J10)</f>
        <v>1679.3572826449117</v>
      </c>
      <c r="K11" s="58">
        <f>SUM(K7:K10)</f>
        <v>7710.2217998571405</v>
      </c>
      <c r="L11" s="65" t="e">
        <f>L7+L8+L9+#REF!+L10</f>
        <v>#REF!</v>
      </c>
      <c r="M11" s="65" t="e">
        <f>M7+M8+M9+#REF!+M10</f>
        <v>#REF!</v>
      </c>
      <c r="N11" s="66">
        <f>SUM(N7:N10)</f>
        <v>1679.3572826449117</v>
      </c>
      <c r="O11" s="67"/>
      <c r="P11" s="68">
        <f>SUM(P7:P10)</f>
        <v>20565.449999999997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1679.3572826449117</v>
      </c>
      <c r="P13" s="83">
        <f>+P11</f>
        <v>20565.449999999997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4066.19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1631.99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14867.269999999999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86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4238.1000000000004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10629.1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2903.96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1162.23</v>
      </c>
      <c r="F42" s="327">
        <v>1631.99</v>
      </c>
      <c r="G42" s="322"/>
      <c r="H42" s="240"/>
      <c r="I42" s="426"/>
      <c r="J42" s="259" t="s">
        <v>34</v>
      </c>
      <c r="K42" s="328">
        <f>SUM(K39:K41)-K41</f>
        <v>14867.2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4066.19</v>
      </c>
      <c r="F43" s="327">
        <f>SUM(F41:F42)</f>
        <v>1631.99</v>
      </c>
      <c r="G43" s="322">
        <f>SUM(E43:F43)</f>
        <v>5698.18</v>
      </c>
      <c r="H43" s="240"/>
      <c r="I43" s="426"/>
      <c r="J43" s="229" t="s">
        <v>106</v>
      </c>
      <c r="K43" s="294">
        <f>P27-K42</f>
        <v>6.9999999997889972E-2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763.34070221066315</v>
      </c>
      <c r="F47" s="231">
        <v>7.69</v>
      </c>
      <c r="G47" s="349">
        <v>5870.09</v>
      </c>
      <c r="M47" s="37"/>
    </row>
    <row r="48" spans="1:16" x14ac:dyDescent="0.25">
      <c r="D48" s="350" t="s">
        <v>110</v>
      </c>
      <c r="E48" s="351">
        <f>+G48/F48</f>
        <v>185.98856489422528</v>
      </c>
      <c r="F48" s="218">
        <v>17.489999999999998</v>
      </c>
      <c r="G48" s="352">
        <v>3252.94</v>
      </c>
      <c r="M48" s="37"/>
    </row>
    <row r="49" spans="4:14" x14ac:dyDescent="0.25">
      <c r="D49" s="350" t="s">
        <v>111</v>
      </c>
      <c r="E49" s="351">
        <f>+G49/F49</f>
        <v>612.83237731038878</v>
      </c>
      <c r="F49" s="218">
        <v>15.69</v>
      </c>
      <c r="G49" s="352">
        <v>9615.34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117.19563822963438</v>
      </c>
      <c r="F51" s="222">
        <v>15.59</v>
      </c>
      <c r="G51" s="355">
        <v>1827.08</v>
      </c>
      <c r="M51" s="37"/>
      <c r="N51" s="37"/>
    </row>
    <row r="52" spans="4:14" ht="15.75" thickBot="1" x14ac:dyDescent="0.3">
      <c r="D52" s="356"/>
      <c r="E52" s="357">
        <f>SUM(E47:E51)</f>
        <v>1679.3572826449117</v>
      </c>
      <c r="F52" s="358"/>
      <c r="G52" s="359">
        <f>G47+G48+G49+G51</f>
        <v>20565.450000000004</v>
      </c>
      <c r="K52" s="360">
        <f>G52-E43-F43-K42</f>
        <v>7.000000000516593E-2</v>
      </c>
      <c r="M52" s="37"/>
    </row>
  </sheetData>
  <mergeCells count="53"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35:B35"/>
    <mergeCell ref="A36:B36"/>
    <mergeCell ref="A37:D37"/>
    <mergeCell ref="A38:D38"/>
    <mergeCell ref="J38:L38"/>
    <mergeCell ref="A44:C44"/>
    <mergeCell ref="M39:N39"/>
    <mergeCell ref="O39:P39"/>
    <mergeCell ref="A40:D40"/>
    <mergeCell ref="A41:D41"/>
    <mergeCell ref="A42:D42"/>
    <mergeCell ref="A43:D43"/>
    <mergeCell ref="A39:D39"/>
  </mergeCells>
  <conditionalFormatting sqref="Q7:Q11">
    <cfRule type="cellIs" dxfId="31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8C0FC61-3277-4282-8335-2DC3BF0703B4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45733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442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70" t="s">
        <v>28</v>
      </c>
      <c r="B7" s="24">
        <v>2607.9039278176469</v>
      </c>
      <c r="C7" s="25">
        <f>M34/2.0185</f>
        <v>0</v>
      </c>
      <c r="D7" s="26"/>
      <c r="E7" s="27"/>
      <c r="F7" s="28">
        <f>B7+C7+E7</f>
        <v>2607.9039278176469</v>
      </c>
      <c r="G7" s="29">
        <f>E47</f>
        <v>859.35630689206755</v>
      </c>
      <c r="H7" s="30"/>
      <c r="I7" s="30"/>
      <c r="J7" s="31">
        <f>E47</f>
        <v>859.35630689206755</v>
      </c>
      <c r="K7" s="24">
        <f>F7-J7-H7</f>
        <v>1748.5476209255794</v>
      </c>
      <c r="L7" s="32">
        <v>2800</v>
      </c>
      <c r="M7" s="32">
        <v>1950</v>
      </c>
      <c r="N7" s="33">
        <f>J7</f>
        <v>859.35630689206755</v>
      </c>
      <c r="O7" s="231">
        <f>+F47</f>
        <v>7.69</v>
      </c>
      <c r="P7" s="35">
        <f>N7*O7</f>
        <v>6608.45</v>
      </c>
      <c r="Q7" s="36">
        <f>+M7-K7</f>
        <v>201.45237907442061</v>
      </c>
      <c r="R7" s="37" t="s">
        <v>29</v>
      </c>
    </row>
    <row r="8" spans="1:18" s="37" customFormat="1" ht="33.75" x14ac:dyDescent="0.25">
      <c r="A8" s="470" t="s">
        <v>142</v>
      </c>
      <c r="B8" s="39">
        <v>1511.8919593580856</v>
      </c>
      <c r="C8" s="40">
        <f>M30</f>
        <v>0</v>
      </c>
      <c r="D8" s="41"/>
      <c r="E8" s="42"/>
      <c r="F8" s="43">
        <f>B8+C8+E8</f>
        <v>1511.8919593580856</v>
      </c>
      <c r="G8" s="44">
        <f>E48</f>
        <v>197.00628930817612</v>
      </c>
      <c r="H8" s="42"/>
      <c r="I8" s="42"/>
      <c r="J8" s="45">
        <f>E48</f>
        <v>197.00628930817612</v>
      </c>
      <c r="K8" s="39">
        <f>F8-J8-H8</f>
        <v>1314.8856700499095</v>
      </c>
      <c r="L8" s="32">
        <v>1490</v>
      </c>
      <c r="M8" s="32">
        <v>1290</v>
      </c>
      <c r="N8" s="46">
        <f>J8</f>
        <v>197.00628930817612</v>
      </c>
      <c r="O8" s="231">
        <f>+F48</f>
        <v>17.489999999999998</v>
      </c>
      <c r="P8" s="47">
        <f>N8*O8</f>
        <v>3445.64</v>
      </c>
      <c r="Q8" s="36">
        <f>+M8-K8</f>
        <v>-24.88567004990955</v>
      </c>
    </row>
    <row r="9" spans="1:18" s="37" customFormat="1" x14ac:dyDescent="0.25">
      <c r="A9" s="471" t="s">
        <v>143</v>
      </c>
      <c r="B9" s="39">
        <v>2460.25626359223</v>
      </c>
      <c r="C9" s="40">
        <f>M31</f>
        <v>0</v>
      </c>
      <c r="D9" s="41"/>
      <c r="E9" s="42"/>
      <c r="F9" s="43">
        <f>B9+C9+E9</f>
        <v>2460.25626359223</v>
      </c>
      <c r="G9" s="44">
        <f>E49</f>
        <v>699.47801147227528</v>
      </c>
      <c r="H9" s="42"/>
      <c r="I9" s="42"/>
      <c r="J9" s="45">
        <f>E49</f>
        <v>699.47801147227528</v>
      </c>
      <c r="K9" s="39">
        <f>F9-J9-H9</f>
        <v>1760.7782521199547</v>
      </c>
      <c r="L9" s="32">
        <v>2420</v>
      </c>
      <c r="M9" s="32">
        <v>1720</v>
      </c>
      <c r="N9" s="46">
        <f>J9</f>
        <v>699.47801147227528</v>
      </c>
      <c r="O9" s="231">
        <f>+F49</f>
        <v>15.69</v>
      </c>
      <c r="P9" s="47">
        <f>N9*O9</f>
        <v>10974.81</v>
      </c>
      <c r="Q9" s="36">
        <f>+M9-K9</f>
        <v>-40.778252119954686</v>
      </c>
    </row>
    <row r="10" spans="1:18" s="37" customFormat="1" ht="15.75" thickBot="1" x14ac:dyDescent="0.3">
      <c r="A10" s="472" t="s">
        <v>33</v>
      </c>
      <c r="B10" s="48">
        <v>1130.1696490891782</v>
      </c>
      <c r="C10" s="49">
        <f>M33</f>
        <v>0</v>
      </c>
      <c r="D10" s="50"/>
      <c r="E10" s="51"/>
      <c r="F10" s="52">
        <f>B10+C10+E10</f>
        <v>1130.1696490891782</v>
      </c>
      <c r="G10" s="53">
        <f>E51</f>
        <v>165.53046824887747</v>
      </c>
      <c r="H10" s="51"/>
      <c r="I10" s="51"/>
      <c r="J10" s="54">
        <f>E51</f>
        <v>165.53046824887747</v>
      </c>
      <c r="K10" s="48">
        <f>F10-J10-H10</f>
        <v>964.6391808403007</v>
      </c>
      <c r="L10" s="32">
        <v>1130</v>
      </c>
      <c r="M10" s="32">
        <v>970</v>
      </c>
      <c r="N10" s="55">
        <f>J10</f>
        <v>165.53046824887747</v>
      </c>
      <c r="O10" s="231">
        <f>+F51</f>
        <v>15.59</v>
      </c>
      <c r="P10" s="56">
        <f>N10*O10</f>
        <v>2580.62</v>
      </c>
      <c r="Q10" s="36">
        <f>+M10-K10</f>
        <v>5.3608191596993038</v>
      </c>
    </row>
    <row r="11" spans="1:18" s="37" customFormat="1" ht="15.75" thickBot="1" x14ac:dyDescent="0.3">
      <c r="A11" s="57" t="s">
        <v>34</v>
      </c>
      <c r="B11" s="58">
        <v>7710.2217998571405</v>
      </c>
      <c r="C11" s="59">
        <f>SUM(C7:C10)</f>
        <v>0</v>
      </c>
      <c r="D11" s="60"/>
      <c r="E11" s="61"/>
      <c r="F11" s="62">
        <f>SUM(F7:F10)</f>
        <v>7710.2217998571405</v>
      </c>
      <c r="G11" s="63">
        <f>SUM(G7:G10)</f>
        <v>1921.3710759213964</v>
      </c>
      <c r="H11" s="58"/>
      <c r="I11" s="58"/>
      <c r="J11" s="64">
        <f>SUM(J7:J10)</f>
        <v>1921.3710759213964</v>
      </c>
      <c r="K11" s="58">
        <f>SUM(K7:K10)</f>
        <v>5788.8507239357441</v>
      </c>
      <c r="L11" s="65" t="e">
        <f>L7+L8+L9+#REF!+L10</f>
        <v>#REF!</v>
      </c>
      <c r="M11" s="65" t="e">
        <f>M7+M8+M9+#REF!+M10</f>
        <v>#REF!</v>
      </c>
      <c r="N11" s="66">
        <f>SUM(N7:N10)</f>
        <v>1921.3710759213964</v>
      </c>
      <c r="O11" s="67"/>
      <c r="P11" s="68">
        <f>SUM(P7:P10)</f>
        <v>23609.52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1921.3710759213964</v>
      </c>
      <c r="P13" s="83">
        <f>+P11</f>
        <v>23609.52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2502.6999999999998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1292.45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19814.37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86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5316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14498.3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1696.34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806.36</v>
      </c>
      <c r="F42" s="327">
        <v>1292.45</v>
      </c>
      <c r="G42" s="322"/>
      <c r="H42" s="240"/>
      <c r="I42" s="426"/>
      <c r="J42" s="259" t="s">
        <v>34</v>
      </c>
      <c r="K42" s="328">
        <f>SUM(K39:K41)-K41</f>
        <v>19814.3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2502.6999999999998</v>
      </c>
      <c r="F43" s="327">
        <f>SUM(F41:F42)</f>
        <v>1292.45</v>
      </c>
      <c r="G43" s="322">
        <f>SUM(E43:F43)</f>
        <v>3795.1499999999996</v>
      </c>
      <c r="H43" s="240"/>
      <c r="I43" s="426"/>
      <c r="J43" s="229" t="s">
        <v>106</v>
      </c>
      <c r="K43" s="294">
        <f>P27-K42</f>
        <v>6.9999999999708962E-2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859.35630689206755</v>
      </c>
      <c r="F47" s="231">
        <v>7.69</v>
      </c>
      <c r="G47" s="349">
        <v>6608.45</v>
      </c>
      <c r="M47" s="37"/>
    </row>
    <row r="48" spans="1:16" x14ac:dyDescent="0.25">
      <c r="D48" s="350" t="s">
        <v>110</v>
      </c>
      <c r="E48" s="351">
        <f>+G48/F48</f>
        <v>197.00628930817612</v>
      </c>
      <c r="F48" s="218">
        <v>17.489999999999998</v>
      </c>
      <c r="G48" s="352">
        <v>3445.64</v>
      </c>
      <c r="M48" s="37"/>
    </row>
    <row r="49" spans="4:14" x14ac:dyDescent="0.25">
      <c r="D49" s="350" t="s">
        <v>111</v>
      </c>
      <c r="E49" s="351">
        <f>+G49/F49</f>
        <v>699.47801147227528</v>
      </c>
      <c r="F49" s="218">
        <v>15.69</v>
      </c>
      <c r="G49" s="352">
        <v>10974.81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165.53046824887747</v>
      </c>
      <c r="F51" s="222">
        <v>15.59</v>
      </c>
      <c r="G51" s="355">
        <v>2580.62</v>
      </c>
      <c r="M51" s="37"/>
      <c r="N51" s="37"/>
    </row>
    <row r="52" spans="4:14" ht="15.75" thickBot="1" x14ac:dyDescent="0.3">
      <c r="D52" s="356"/>
      <c r="E52" s="357">
        <f>SUM(E47:E51)</f>
        <v>1921.3710759213964</v>
      </c>
      <c r="F52" s="358"/>
      <c r="G52" s="359">
        <f>G47+G48+G49+G51</f>
        <v>23609.52</v>
      </c>
      <c r="K52" s="360">
        <f>G52-E43-F43-K42</f>
        <v>6.9999999999708962E-2</v>
      </c>
      <c r="M52" s="37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29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6E896E2-6130-4CA0-A332-503ABEEAF575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tabSelected="1" zoomScale="82" zoomScaleNormal="82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45734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443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67" t="s">
        <v>28</v>
      </c>
      <c r="B7" s="24">
        <v>1748.5476209255794</v>
      </c>
      <c r="C7" s="25">
        <f>M34/2.0185</f>
        <v>2348.2784245727025</v>
      </c>
      <c r="D7" s="26"/>
      <c r="E7" s="27"/>
      <c r="F7" s="28">
        <f>B7+C7+E7</f>
        <v>4096.8260454982819</v>
      </c>
      <c r="G7" s="29">
        <f>E47</f>
        <v>807.9115734720416</v>
      </c>
      <c r="H7" s="30"/>
      <c r="I7" s="30"/>
      <c r="J7" s="31">
        <f>E47</f>
        <v>807.9115734720416</v>
      </c>
      <c r="K7" s="24">
        <f>F7-J7-H7</f>
        <v>3288.9144720262402</v>
      </c>
      <c r="L7" s="32">
        <v>1950</v>
      </c>
      <c r="M7" s="32">
        <v>3500</v>
      </c>
      <c r="N7" s="33">
        <f>J7</f>
        <v>807.9115734720416</v>
      </c>
      <c r="O7" s="231">
        <f>+F47</f>
        <v>7.69</v>
      </c>
      <c r="P7" s="35">
        <f>N7*O7</f>
        <v>6212.84</v>
      </c>
      <c r="Q7" s="36">
        <f>+M7-K7</f>
        <v>211.08552797375978</v>
      </c>
      <c r="R7" s="37" t="s">
        <v>29</v>
      </c>
    </row>
    <row r="8" spans="1:18" s="37" customFormat="1" ht="33.75" x14ac:dyDescent="0.25">
      <c r="A8" s="467" t="s">
        <v>142</v>
      </c>
      <c r="B8" s="39">
        <v>1314.8856700499095</v>
      </c>
      <c r="C8" s="40">
        <f>M30</f>
        <v>0</v>
      </c>
      <c r="D8" s="41"/>
      <c r="E8" s="42"/>
      <c r="F8" s="43">
        <f>B8+C8+E8</f>
        <v>1314.8856700499095</v>
      </c>
      <c r="G8" s="44">
        <f>E48</f>
        <v>202.90909090909093</v>
      </c>
      <c r="H8" s="42"/>
      <c r="I8" s="42"/>
      <c r="J8" s="45">
        <f>E48</f>
        <v>202.90909090909093</v>
      </c>
      <c r="K8" s="39">
        <f>F8-J8-H8</f>
        <v>1111.9765791408186</v>
      </c>
      <c r="L8" s="32">
        <v>1290</v>
      </c>
      <c r="M8" s="32">
        <v>1100</v>
      </c>
      <c r="N8" s="46">
        <f>J8</f>
        <v>202.90909090909093</v>
      </c>
      <c r="O8" s="231">
        <f>+F48</f>
        <v>17.489999999999998</v>
      </c>
      <c r="P8" s="47">
        <f>N8*O8</f>
        <v>3548.88</v>
      </c>
      <c r="Q8" s="36">
        <f>+M8-K8</f>
        <v>-11.976579140818558</v>
      </c>
    </row>
    <row r="9" spans="1:18" s="37" customFormat="1" x14ac:dyDescent="0.25">
      <c r="A9" s="468" t="s">
        <v>143</v>
      </c>
      <c r="B9" s="39">
        <v>1760.7782521199547</v>
      </c>
      <c r="C9" s="40">
        <f>M31</f>
        <v>0</v>
      </c>
      <c r="D9" s="41"/>
      <c r="E9" s="42"/>
      <c r="F9" s="43">
        <f>B9+C9+E9</f>
        <v>1760.7782521199547</v>
      </c>
      <c r="G9" s="44">
        <f>E49</f>
        <v>642.93562778840021</v>
      </c>
      <c r="H9" s="42"/>
      <c r="I9" s="42"/>
      <c r="J9" s="45">
        <f>E49</f>
        <v>642.93562778840021</v>
      </c>
      <c r="K9" s="39">
        <f>F9-J9-H9</f>
        <v>1117.8426243315544</v>
      </c>
      <c r="L9" s="32">
        <v>1720</v>
      </c>
      <c r="M9" s="32">
        <v>1070</v>
      </c>
      <c r="N9" s="46">
        <f>J9</f>
        <v>642.93562778840021</v>
      </c>
      <c r="O9" s="231">
        <f>+F49</f>
        <v>15.69</v>
      </c>
      <c r="P9" s="47">
        <f>N9*O9</f>
        <v>10087.66</v>
      </c>
      <c r="Q9" s="36">
        <f>+M9-K9</f>
        <v>-47.842624331554362</v>
      </c>
    </row>
    <row r="10" spans="1:18" s="37" customFormat="1" ht="15.75" thickBot="1" x14ac:dyDescent="0.3">
      <c r="A10" s="469" t="s">
        <v>33</v>
      </c>
      <c r="B10" s="48">
        <v>964.6391808403007</v>
      </c>
      <c r="C10" s="49">
        <f>M33</f>
        <v>0</v>
      </c>
      <c r="D10" s="50"/>
      <c r="E10" s="51"/>
      <c r="F10" s="52">
        <f>B10+C10+E10</f>
        <v>964.6391808403007</v>
      </c>
      <c r="G10" s="53">
        <f>E51</f>
        <v>175.36946760744067</v>
      </c>
      <c r="H10" s="51"/>
      <c r="I10" s="51"/>
      <c r="J10" s="54">
        <f>E51</f>
        <v>175.36946760744067</v>
      </c>
      <c r="K10" s="48">
        <f>F10-J10-H10</f>
        <v>789.26971323286</v>
      </c>
      <c r="L10" s="32">
        <v>970</v>
      </c>
      <c r="M10" s="32">
        <v>800</v>
      </c>
      <c r="N10" s="55">
        <f>J10</f>
        <v>175.36946760744067</v>
      </c>
      <c r="O10" s="231">
        <f>+F51</f>
        <v>15.59</v>
      </c>
      <c r="P10" s="56">
        <f>N10*O10</f>
        <v>2734.01</v>
      </c>
      <c r="Q10" s="36">
        <f>+M10-K10</f>
        <v>10.730286767140001</v>
      </c>
    </row>
    <row r="11" spans="1:18" s="37" customFormat="1" ht="15.75" thickBot="1" x14ac:dyDescent="0.3">
      <c r="A11" s="57" t="s">
        <v>34</v>
      </c>
      <c r="B11" s="58">
        <v>5788.85</v>
      </c>
      <c r="C11" s="59">
        <f>SUM(C7:C10)</f>
        <v>2348.2784245727025</v>
      </c>
      <c r="D11" s="60"/>
      <c r="E11" s="61"/>
      <c r="F11" s="62">
        <f>SUM(F7:F10)</f>
        <v>8137.1291485084475</v>
      </c>
      <c r="G11" s="63">
        <f>SUM(G7:G10)</f>
        <v>1829.1257597769732</v>
      </c>
      <c r="H11" s="58"/>
      <c r="I11" s="58"/>
      <c r="J11" s="64">
        <f>SUM(J7:J10)</f>
        <v>1829.1257597769732</v>
      </c>
      <c r="K11" s="58">
        <f>SUM(K7:K10)</f>
        <v>6308.003388731473</v>
      </c>
      <c r="L11" s="65" t="e">
        <f>L7+L8+L9+#REF!+L10</f>
        <v>#REF!</v>
      </c>
      <c r="M11" s="65" t="e">
        <f>M7+M8+M9+#REF!+M10</f>
        <v>#REF!</v>
      </c>
      <c r="N11" s="66">
        <f>SUM(N7:N10)</f>
        <v>1829.1257597769732</v>
      </c>
      <c r="O11" s="67"/>
      <c r="P11" s="68">
        <f>SUM(P7:P10)</f>
        <v>22583.39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1829.1257597769732</v>
      </c>
      <c r="P13" s="83">
        <f>+P11</f>
        <v>22583.39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5871.4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2244.84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14467.149999999998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>
        <v>4740</v>
      </c>
      <c r="N34" s="141" t="s">
        <v>128</v>
      </c>
      <c r="O34" s="147"/>
      <c r="P34" s="152" t="s">
        <v>120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3968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10499.2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3875.56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1995.84</v>
      </c>
      <c r="F42" s="327">
        <v>2244.84</v>
      </c>
      <c r="G42" s="322"/>
      <c r="H42" s="240"/>
      <c r="I42" s="426"/>
      <c r="J42" s="259" t="s">
        <v>34</v>
      </c>
      <c r="K42" s="328">
        <f>SUM(K39:K41)-K41</f>
        <v>14467.2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5871.4</v>
      </c>
      <c r="F43" s="327">
        <f>SUM(F41:F42)</f>
        <v>2244.84</v>
      </c>
      <c r="G43" s="322">
        <f>SUM(E43:F43)</f>
        <v>8116.24</v>
      </c>
      <c r="H43" s="240"/>
      <c r="I43" s="426"/>
      <c r="J43" s="229" t="s">
        <v>106</v>
      </c>
      <c r="K43" s="294">
        <f>P27-K42</f>
        <v>-5.0000000002910383E-2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807.9115734720416</v>
      </c>
      <c r="F47" s="231">
        <v>7.69</v>
      </c>
      <c r="G47" s="349">
        <v>6212.84</v>
      </c>
      <c r="M47" s="37"/>
    </row>
    <row r="48" spans="1:16" x14ac:dyDescent="0.25">
      <c r="D48" s="350" t="s">
        <v>110</v>
      </c>
      <c r="E48" s="351">
        <f>+G48/F48</f>
        <v>202.90909090909093</v>
      </c>
      <c r="F48" s="218">
        <v>17.489999999999998</v>
      </c>
      <c r="G48" s="352">
        <v>3548.88</v>
      </c>
      <c r="M48" s="37"/>
    </row>
    <row r="49" spans="4:14" x14ac:dyDescent="0.25">
      <c r="D49" s="350" t="s">
        <v>111</v>
      </c>
      <c r="E49" s="351">
        <f>+G49/F49</f>
        <v>642.93562778840021</v>
      </c>
      <c r="F49" s="218">
        <v>15.69</v>
      </c>
      <c r="G49" s="352">
        <v>10087.66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175.36946760744067</v>
      </c>
      <c r="F51" s="222">
        <v>15.59</v>
      </c>
      <c r="G51" s="355">
        <v>2734.01</v>
      </c>
      <c r="M51" s="37"/>
      <c r="N51" s="37"/>
    </row>
    <row r="52" spans="4:14" ht="15.75" thickBot="1" x14ac:dyDescent="0.3">
      <c r="D52" s="356"/>
      <c r="E52" s="357">
        <f>SUM(E47:E51)</f>
        <v>1829.1257597769732</v>
      </c>
      <c r="F52" s="358"/>
      <c r="G52" s="359">
        <f>G47+G48+G49+G51</f>
        <v>22583.39</v>
      </c>
      <c r="K52" s="360">
        <f>G52-E43-F43-K42</f>
        <v>-5.0000000002910383E-2</v>
      </c>
      <c r="M52" s="37"/>
    </row>
  </sheetData>
  <mergeCells count="53"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35:B35"/>
    <mergeCell ref="A36:B36"/>
    <mergeCell ref="A37:D37"/>
    <mergeCell ref="A38:D38"/>
    <mergeCell ref="J38:L38"/>
    <mergeCell ref="A44:C44"/>
    <mergeCell ref="M39:N39"/>
    <mergeCell ref="O39:P39"/>
    <mergeCell ref="A40:D40"/>
    <mergeCell ref="A41:D41"/>
    <mergeCell ref="A42:D42"/>
    <mergeCell ref="A43:D43"/>
    <mergeCell ref="A39:D39"/>
  </mergeCells>
  <conditionalFormatting sqref="Q7:Q11">
    <cfRule type="cellIs" dxfId="27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36F050E-F5ED-4C68-88CF-0CAA1CB92017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45735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444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64" t="s">
        <v>28</v>
      </c>
      <c r="B7" s="24">
        <v>3288.9144720262402</v>
      </c>
      <c r="C7" s="25">
        <f>M34/2.0185</f>
        <v>0</v>
      </c>
      <c r="D7" s="26"/>
      <c r="E7" s="27"/>
      <c r="F7" s="28">
        <f>B7+C7+E7</f>
        <v>3288.9144720262402</v>
      </c>
      <c r="G7" s="29">
        <f>E47</f>
        <v>767.90247074122237</v>
      </c>
      <c r="H7" s="30"/>
      <c r="I7" s="30"/>
      <c r="J7" s="31">
        <f>E47</f>
        <v>767.90247074122237</v>
      </c>
      <c r="K7" s="24">
        <f>F7-J7-H7</f>
        <v>2521.012001285018</v>
      </c>
      <c r="L7" s="32">
        <v>3500</v>
      </c>
      <c r="M7" s="32">
        <v>2700</v>
      </c>
      <c r="N7" s="33">
        <f>J7</f>
        <v>767.90247074122237</v>
      </c>
      <c r="O7" s="231">
        <f>+F47</f>
        <v>7.69</v>
      </c>
      <c r="P7" s="35">
        <f>N7*O7</f>
        <v>5905.17</v>
      </c>
      <c r="Q7" s="36">
        <f>+M7-K7</f>
        <v>178.98799871498204</v>
      </c>
      <c r="R7" s="37" t="s">
        <v>29</v>
      </c>
    </row>
    <row r="8" spans="1:18" s="37" customFormat="1" ht="33.75" x14ac:dyDescent="0.25">
      <c r="A8" s="464" t="s">
        <v>142</v>
      </c>
      <c r="B8" s="39">
        <v>1111.9765791408186</v>
      </c>
      <c r="C8" s="40">
        <f>M30</f>
        <v>0</v>
      </c>
      <c r="D8" s="41"/>
      <c r="E8" s="42"/>
      <c r="F8" s="43">
        <f>B8+C8+E8</f>
        <v>1111.9765791408186</v>
      </c>
      <c r="G8" s="44">
        <f>E48</f>
        <v>170.96169239565467</v>
      </c>
      <c r="H8" s="42"/>
      <c r="I8" s="42"/>
      <c r="J8" s="45">
        <f>E48</f>
        <v>170.96169239565467</v>
      </c>
      <c r="K8" s="39">
        <f>F8-J8-H8</f>
        <v>941.01488674516395</v>
      </c>
      <c r="L8" s="32">
        <v>1100</v>
      </c>
      <c r="M8" s="32">
        <v>930</v>
      </c>
      <c r="N8" s="46">
        <f>J8</f>
        <v>170.96169239565467</v>
      </c>
      <c r="O8" s="231">
        <f>+F48</f>
        <v>17.489999999999998</v>
      </c>
      <c r="P8" s="47">
        <f>N8*O8</f>
        <v>2990.12</v>
      </c>
      <c r="Q8" s="36">
        <f>+M8-K8</f>
        <v>-11.014886745163949</v>
      </c>
    </row>
    <row r="9" spans="1:18" s="37" customFormat="1" x14ac:dyDescent="0.25">
      <c r="A9" s="465" t="s">
        <v>143</v>
      </c>
      <c r="B9" s="39">
        <v>1117.8426243315544</v>
      </c>
      <c r="C9" s="40">
        <f>M31</f>
        <v>0</v>
      </c>
      <c r="D9" s="41"/>
      <c r="E9" s="42"/>
      <c r="F9" s="43">
        <f>B9+C9+E9</f>
        <v>1117.8426243315544</v>
      </c>
      <c r="G9" s="44">
        <f>E49</f>
        <v>622.39961759082223</v>
      </c>
      <c r="H9" s="42"/>
      <c r="I9" s="42"/>
      <c r="J9" s="45">
        <f>E49</f>
        <v>622.39961759082223</v>
      </c>
      <c r="K9" s="39">
        <f>F9-J9-H9</f>
        <v>495.44300674073213</v>
      </c>
      <c r="L9" s="32">
        <v>1070</v>
      </c>
      <c r="M9" s="32">
        <v>450</v>
      </c>
      <c r="N9" s="46">
        <f>J9</f>
        <v>622.39961759082223</v>
      </c>
      <c r="O9" s="231">
        <f>+F49</f>
        <v>15.69</v>
      </c>
      <c r="P9" s="47">
        <f>N9*O9</f>
        <v>9765.4500000000007</v>
      </c>
      <c r="Q9" s="36">
        <f>+M9-K9</f>
        <v>-45.44300674073213</v>
      </c>
    </row>
    <row r="10" spans="1:18" s="37" customFormat="1" ht="15.75" thickBot="1" x14ac:dyDescent="0.3">
      <c r="A10" s="466" t="s">
        <v>33</v>
      </c>
      <c r="B10" s="48">
        <v>789.26971323286</v>
      </c>
      <c r="C10" s="49">
        <f>M33</f>
        <v>0</v>
      </c>
      <c r="D10" s="50"/>
      <c r="E10" s="51"/>
      <c r="F10" s="52">
        <f>B10+C10+E10</f>
        <v>789.26971323286</v>
      </c>
      <c r="G10" s="53">
        <f>E51</f>
        <v>310.24053880692747</v>
      </c>
      <c r="H10" s="51"/>
      <c r="I10" s="51"/>
      <c r="J10" s="54">
        <f>E51</f>
        <v>310.24053880692747</v>
      </c>
      <c r="K10" s="48">
        <f>F10-J10-H10</f>
        <v>479.02917442593252</v>
      </c>
      <c r="L10" s="32">
        <v>800</v>
      </c>
      <c r="M10" s="32">
        <v>480</v>
      </c>
      <c r="N10" s="55">
        <f>J10</f>
        <v>310.24053880692747</v>
      </c>
      <c r="O10" s="231">
        <f>+F51</f>
        <v>15.59</v>
      </c>
      <c r="P10" s="56">
        <f>N10*O10</f>
        <v>4836.6499999999996</v>
      </c>
      <c r="Q10" s="36">
        <f>+M10-K10</f>
        <v>0.97082557406747583</v>
      </c>
    </row>
    <row r="11" spans="1:18" s="37" customFormat="1" ht="15.75" thickBot="1" x14ac:dyDescent="0.3">
      <c r="A11" s="57" t="s">
        <v>34</v>
      </c>
      <c r="B11" s="58">
        <v>6308</v>
      </c>
      <c r="C11" s="59">
        <f>SUM(C7:C10)</f>
        <v>0</v>
      </c>
      <c r="D11" s="60"/>
      <c r="E11" s="61"/>
      <c r="F11" s="62">
        <f>SUM(F7:F10)</f>
        <v>6308.003388731473</v>
      </c>
      <c r="G11" s="63">
        <f>SUM(G7:G10)</f>
        <v>1871.5043195346266</v>
      </c>
      <c r="H11" s="58"/>
      <c r="I11" s="58"/>
      <c r="J11" s="64">
        <f>SUM(J7:J10)</f>
        <v>1871.5043195346266</v>
      </c>
      <c r="K11" s="58">
        <f>SUM(K7:K10)</f>
        <v>4436.4990691968469</v>
      </c>
      <c r="L11" s="65" t="e">
        <f>L7+L8+L9+#REF!+L10</f>
        <v>#REF!</v>
      </c>
      <c r="M11" s="65" t="e">
        <f>M7+M8+M9+#REF!+M10</f>
        <v>#REF!</v>
      </c>
      <c r="N11" s="66">
        <f>SUM(N7:N10)</f>
        <v>1871.5043195346266</v>
      </c>
      <c r="O11" s="67"/>
      <c r="P11" s="68">
        <f>SUM(P7:P10)</f>
        <v>23497.39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1871.5043195346266</v>
      </c>
      <c r="P13" s="83">
        <f>+P11</f>
        <v>23497.39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4373.62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2444.17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16679.599999999999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81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120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3461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13218.5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2508.48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1865.14</v>
      </c>
      <c r="F42" s="327">
        <v>2444.17</v>
      </c>
      <c r="G42" s="322"/>
      <c r="H42" s="240"/>
      <c r="I42" s="426"/>
      <c r="J42" s="259" t="s">
        <v>34</v>
      </c>
      <c r="K42" s="328">
        <f>SUM(K39:K41)-K41</f>
        <v>16679.5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4373.62</v>
      </c>
      <c r="F43" s="327">
        <f>SUM(F41:F42)</f>
        <v>2444.17</v>
      </c>
      <c r="G43" s="322">
        <f>SUM(E43:F43)</f>
        <v>6817.79</v>
      </c>
      <c r="H43" s="240"/>
      <c r="I43" s="426"/>
      <c r="J43" s="229" t="s">
        <v>106</v>
      </c>
      <c r="K43" s="294">
        <f>P27-K42</f>
        <v>9.9999999998544808E-2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767.90247074122237</v>
      </c>
      <c r="F47" s="231">
        <v>7.69</v>
      </c>
      <c r="G47" s="349">
        <v>5905.17</v>
      </c>
      <c r="M47" s="37"/>
    </row>
    <row r="48" spans="1:16" x14ac:dyDescent="0.25">
      <c r="D48" s="350" t="s">
        <v>110</v>
      </c>
      <c r="E48" s="351">
        <f>+G48/F48</f>
        <v>170.96169239565467</v>
      </c>
      <c r="F48" s="218">
        <v>17.489999999999998</v>
      </c>
      <c r="G48" s="352">
        <v>2990.12</v>
      </c>
      <c r="M48" s="37"/>
    </row>
    <row r="49" spans="4:14" x14ac:dyDescent="0.25">
      <c r="D49" s="350" t="s">
        <v>111</v>
      </c>
      <c r="E49" s="351">
        <f>+G49/F49</f>
        <v>622.39961759082223</v>
      </c>
      <c r="F49" s="218">
        <v>15.69</v>
      </c>
      <c r="G49" s="352">
        <v>9765.4500000000007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310.24053880692747</v>
      </c>
      <c r="F51" s="222">
        <v>15.59</v>
      </c>
      <c r="G51" s="355">
        <v>4836.6499999999996</v>
      </c>
      <c r="M51" s="37"/>
      <c r="N51" s="37"/>
    </row>
    <row r="52" spans="4:14" ht="15.75" thickBot="1" x14ac:dyDescent="0.3">
      <c r="D52" s="356"/>
      <c r="E52" s="357">
        <f>SUM(E47:E51)</f>
        <v>1871.5043195346266</v>
      </c>
      <c r="F52" s="358"/>
      <c r="G52" s="359">
        <f>G47+G48+G49+G51</f>
        <v>23497.39</v>
      </c>
      <c r="K52" s="360">
        <f>G52-E43-F43-K42</f>
        <v>9.9999999998544808E-2</v>
      </c>
      <c r="M52" s="37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25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2010133-E59C-4419-A948-C97CABA45CDE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45736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445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61" t="s">
        <v>28</v>
      </c>
      <c r="B7" s="24">
        <v>2521.012001285018</v>
      </c>
      <c r="C7" s="25">
        <f>M34/2.0185</f>
        <v>941.2930393856825</v>
      </c>
      <c r="D7" s="26"/>
      <c r="E7" s="27"/>
      <c r="F7" s="28">
        <f>B7+C7+E7</f>
        <v>3462.3050406707007</v>
      </c>
      <c r="G7" s="29">
        <f>E47</f>
        <v>818.00520156046809</v>
      </c>
      <c r="H7" s="30"/>
      <c r="I7" s="30"/>
      <c r="J7" s="31">
        <f>E47</f>
        <v>818.00520156046809</v>
      </c>
      <c r="K7" s="24">
        <f>F7-J7-H7</f>
        <v>2644.2998391102328</v>
      </c>
      <c r="L7" s="32">
        <v>2700</v>
      </c>
      <c r="M7" s="32">
        <v>2900</v>
      </c>
      <c r="N7" s="33">
        <f>J7</f>
        <v>818.00520156046809</v>
      </c>
      <c r="O7" s="231">
        <f>+F47</f>
        <v>7.69</v>
      </c>
      <c r="P7" s="35">
        <f>N7*O7</f>
        <v>6290.46</v>
      </c>
      <c r="Q7" s="36">
        <f>+M7-K7</f>
        <v>255.70016088976718</v>
      </c>
      <c r="R7" s="37" t="s">
        <v>29</v>
      </c>
    </row>
    <row r="8" spans="1:18" s="37" customFormat="1" ht="33.75" x14ac:dyDescent="0.25">
      <c r="A8" s="461" t="s">
        <v>142</v>
      </c>
      <c r="B8" s="39">
        <v>941.01488674516395</v>
      </c>
      <c r="C8" s="40">
        <f>M30</f>
        <v>0</v>
      </c>
      <c r="D8" s="41"/>
      <c r="E8" s="42"/>
      <c r="F8" s="43">
        <f>B8+C8+E8</f>
        <v>941.01488674516395</v>
      </c>
      <c r="G8" s="44">
        <f>E48</f>
        <v>142.22927387078332</v>
      </c>
      <c r="H8" s="42"/>
      <c r="I8" s="42"/>
      <c r="J8" s="45">
        <f>E48</f>
        <v>142.22927387078332</v>
      </c>
      <c r="K8" s="39">
        <f>F8-J8-H8</f>
        <v>798.7856128743806</v>
      </c>
      <c r="L8" s="32">
        <v>930</v>
      </c>
      <c r="M8" s="32">
        <v>770</v>
      </c>
      <c r="N8" s="46">
        <f>J8</f>
        <v>142.22927387078332</v>
      </c>
      <c r="O8" s="231">
        <f>+F48</f>
        <v>17.489999999999998</v>
      </c>
      <c r="P8" s="47">
        <f>N8*O8</f>
        <v>2487.59</v>
      </c>
      <c r="Q8" s="36">
        <f>+M8-K8</f>
        <v>-28.785612874380604</v>
      </c>
    </row>
    <row r="9" spans="1:18" s="37" customFormat="1" x14ac:dyDescent="0.25">
      <c r="A9" s="462" t="s">
        <v>143</v>
      </c>
      <c r="B9" s="39">
        <v>495.44300674073213</v>
      </c>
      <c r="C9" s="40">
        <f>M31</f>
        <v>2850</v>
      </c>
      <c r="D9" s="41"/>
      <c r="E9" s="42"/>
      <c r="F9" s="43">
        <f>B9+C9+E9</f>
        <v>3345.443006740732</v>
      </c>
      <c r="G9" s="44">
        <f>E49</f>
        <v>586.09114085404724</v>
      </c>
      <c r="H9" s="42"/>
      <c r="I9" s="42"/>
      <c r="J9" s="45">
        <f>E49</f>
        <v>586.09114085404724</v>
      </c>
      <c r="K9" s="39">
        <f>F9-J9-H9</f>
        <v>2759.3518658866847</v>
      </c>
      <c r="L9" s="32">
        <v>450</v>
      </c>
      <c r="M9" s="32">
        <v>2700</v>
      </c>
      <c r="N9" s="46">
        <f>J9</f>
        <v>586.09114085404724</v>
      </c>
      <c r="O9" s="231">
        <f>+F49</f>
        <v>15.69</v>
      </c>
      <c r="P9" s="47">
        <f>N9*O9</f>
        <v>9195.77</v>
      </c>
      <c r="Q9" s="36">
        <f>+M9-K9</f>
        <v>-59.351865886684664</v>
      </c>
    </row>
    <row r="10" spans="1:18" s="37" customFormat="1" ht="15.75" thickBot="1" x14ac:dyDescent="0.3">
      <c r="A10" s="463" t="s">
        <v>33</v>
      </c>
      <c r="B10" s="48">
        <v>479.02917442593252</v>
      </c>
      <c r="C10" s="49">
        <f>M33</f>
        <v>1050</v>
      </c>
      <c r="D10" s="50"/>
      <c r="E10" s="51"/>
      <c r="F10" s="52">
        <f>B10+C10+E10</f>
        <v>1529.0291744259325</v>
      </c>
      <c r="G10" s="53">
        <f>E51</f>
        <v>121.63951250801796</v>
      </c>
      <c r="H10" s="51"/>
      <c r="I10" s="51"/>
      <c r="J10" s="54">
        <f>E51</f>
        <v>121.63951250801796</v>
      </c>
      <c r="K10" s="48">
        <f>F10-J10-H10</f>
        <v>1407.3896619179145</v>
      </c>
      <c r="L10" s="32">
        <v>480</v>
      </c>
      <c r="M10" s="32">
        <v>1410</v>
      </c>
      <c r="N10" s="55">
        <f>J10</f>
        <v>121.63951250801796</v>
      </c>
      <c r="O10" s="231">
        <f>+F51</f>
        <v>15.59</v>
      </c>
      <c r="P10" s="56">
        <f>N10*O10</f>
        <v>1896.36</v>
      </c>
      <c r="Q10" s="36">
        <f>+M10-K10</f>
        <v>2.6103380820854909</v>
      </c>
    </row>
    <row r="11" spans="1:18" s="37" customFormat="1" ht="15.75" thickBot="1" x14ac:dyDescent="0.3">
      <c r="A11" s="57" t="s">
        <v>34</v>
      </c>
      <c r="B11" s="58">
        <v>4436.5</v>
      </c>
      <c r="C11" s="59">
        <f>SUM(C7:C10)</f>
        <v>4841.2930393856823</v>
      </c>
      <c r="D11" s="60"/>
      <c r="E11" s="61"/>
      <c r="F11" s="62">
        <f>SUM(F7:F10)</f>
        <v>9277.7921085825292</v>
      </c>
      <c r="G11" s="63">
        <f>SUM(G7:G10)</f>
        <v>1667.9651287933166</v>
      </c>
      <c r="H11" s="58"/>
      <c r="I11" s="58"/>
      <c r="J11" s="64">
        <f>SUM(J7:J10)</f>
        <v>1667.9651287933166</v>
      </c>
      <c r="K11" s="58">
        <f>SUM(K7:K10)</f>
        <v>7609.8269797892117</v>
      </c>
      <c r="L11" s="65" t="e">
        <f>L7+L8+L9+#REF!+L10</f>
        <v>#REF!</v>
      </c>
      <c r="M11" s="65" t="e">
        <f>M7+M8+M9+#REF!+M10</f>
        <v>#REF!</v>
      </c>
      <c r="N11" s="66">
        <f>SUM(N7:N10)</f>
        <v>1667.9651287933166</v>
      </c>
      <c r="O11" s="67"/>
      <c r="P11" s="68">
        <f>SUM(P7:P10)</f>
        <v>19870.18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1667.9651287933166</v>
      </c>
      <c r="P13" s="83">
        <f>+P11</f>
        <v>19870.18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4498.5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2007.66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69</v>
      </c>
      <c r="N25" s="121"/>
      <c r="O25" s="271"/>
      <c r="P25" s="250"/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13364.02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>
        <v>2850</v>
      </c>
      <c r="N31" s="141" t="s">
        <v>130</v>
      </c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83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>
        <v>1050</v>
      </c>
      <c r="N33" s="149" t="s">
        <v>129</v>
      </c>
      <c r="O33" s="141"/>
      <c r="P33" s="141" t="s">
        <v>83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>
        <v>1900</v>
      </c>
      <c r="N34" s="141" t="s">
        <v>131</v>
      </c>
      <c r="O34" s="147"/>
      <c r="P34" s="152" t="s">
        <v>86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4282.8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9081.1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2203.12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2295.38</v>
      </c>
      <c r="F42" s="327">
        <v>2007.66</v>
      </c>
      <c r="G42" s="322"/>
      <c r="H42" s="240"/>
      <c r="I42" s="426"/>
      <c r="J42" s="259" t="s">
        <v>34</v>
      </c>
      <c r="K42" s="328">
        <f>SUM(K39:K41)-K41</f>
        <v>13363.900000000001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4498.5</v>
      </c>
      <c r="F43" s="327">
        <f>SUM(F41:F42)</f>
        <v>2007.66</v>
      </c>
      <c r="G43" s="322">
        <f>SUM(E43:F43)</f>
        <v>6506.16</v>
      </c>
      <c r="H43" s="240"/>
      <c r="I43" s="426"/>
      <c r="J43" s="229" t="s">
        <v>106</v>
      </c>
      <c r="K43" s="294">
        <f>P27-K42</f>
        <v>0.11999999999898137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818.00520156046809</v>
      </c>
      <c r="F47" s="231">
        <v>7.69</v>
      </c>
      <c r="G47" s="349">
        <v>6290.46</v>
      </c>
      <c r="M47" s="37"/>
    </row>
    <row r="48" spans="1:16" x14ac:dyDescent="0.25">
      <c r="D48" s="350" t="s">
        <v>110</v>
      </c>
      <c r="E48" s="351">
        <f>+G48/F48</f>
        <v>142.22927387078332</v>
      </c>
      <c r="F48" s="218">
        <v>17.489999999999998</v>
      </c>
      <c r="G48" s="352">
        <v>2487.59</v>
      </c>
      <c r="M48" s="37"/>
    </row>
    <row r="49" spans="4:14" x14ac:dyDescent="0.25">
      <c r="D49" s="350" t="s">
        <v>111</v>
      </c>
      <c r="E49" s="351">
        <f>+G49/F49</f>
        <v>586.09114085404724</v>
      </c>
      <c r="F49" s="218">
        <v>15.69</v>
      </c>
      <c r="G49" s="352">
        <v>9195.77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121.63951250801796</v>
      </c>
      <c r="F51" s="222">
        <v>15.59</v>
      </c>
      <c r="G51" s="355">
        <v>1896.36</v>
      </c>
      <c r="M51" s="37"/>
      <c r="N51" s="37"/>
    </row>
    <row r="52" spans="4:14" ht="15.75" thickBot="1" x14ac:dyDescent="0.3">
      <c r="D52" s="356"/>
      <c r="E52" s="357">
        <f>SUM(E47:E51)</f>
        <v>1667.9651287933166</v>
      </c>
      <c r="F52" s="358"/>
      <c r="G52" s="359">
        <f>G47+G48+G49+G51</f>
        <v>19870.18</v>
      </c>
      <c r="K52" s="360">
        <f>G52-E43-F43-K42</f>
        <v>0.11999999999898137</v>
      </c>
      <c r="M52" s="37"/>
    </row>
  </sheetData>
  <mergeCells count="53"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35:B35"/>
    <mergeCell ref="A36:B36"/>
    <mergeCell ref="A37:D37"/>
    <mergeCell ref="A38:D38"/>
    <mergeCell ref="J38:L38"/>
    <mergeCell ref="A44:C44"/>
    <mergeCell ref="M39:N39"/>
    <mergeCell ref="O39:P39"/>
    <mergeCell ref="A40:D40"/>
    <mergeCell ref="A41:D41"/>
    <mergeCell ref="A42:D42"/>
    <mergeCell ref="A43:D43"/>
    <mergeCell ref="A39:D39"/>
  </mergeCells>
  <conditionalFormatting sqref="Q7:Q11">
    <cfRule type="cellIs" dxfId="23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7717FA8-3442-495D-8081-8ABFF8F1330E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45737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446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58" t="s">
        <v>28</v>
      </c>
      <c r="B7" s="24">
        <v>2644.2998391102328</v>
      </c>
      <c r="C7" s="25">
        <f>M34/2.0185</f>
        <v>0</v>
      </c>
      <c r="D7" s="26"/>
      <c r="E7" s="27"/>
      <c r="F7" s="28">
        <f>B7+C7+E7</f>
        <v>2644.2998391102328</v>
      </c>
      <c r="G7" s="29">
        <f>E47</f>
        <v>715.85695708712603</v>
      </c>
      <c r="H7" s="30"/>
      <c r="I7" s="30"/>
      <c r="J7" s="31">
        <f>E47</f>
        <v>715.85695708712603</v>
      </c>
      <c r="K7" s="24">
        <f>F7-J7-H7</f>
        <v>1928.4428820231069</v>
      </c>
      <c r="L7" s="32">
        <v>2900</v>
      </c>
      <c r="M7" s="32">
        <v>2100</v>
      </c>
      <c r="N7" s="33">
        <f>J7</f>
        <v>715.85695708712603</v>
      </c>
      <c r="O7" s="231">
        <f>+F47</f>
        <v>7.69</v>
      </c>
      <c r="P7" s="35">
        <f>N7*O7</f>
        <v>5504.94</v>
      </c>
      <c r="Q7" s="36">
        <f>+M7-K7</f>
        <v>171.5571179768931</v>
      </c>
      <c r="R7" s="37" t="s">
        <v>29</v>
      </c>
    </row>
    <row r="8" spans="1:18" s="37" customFormat="1" ht="33.75" x14ac:dyDescent="0.25">
      <c r="A8" s="458" t="s">
        <v>142</v>
      </c>
      <c r="B8" s="39">
        <v>798.7856128743806</v>
      </c>
      <c r="C8" s="40">
        <f>M30</f>
        <v>0</v>
      </c>
      <c r="D8" s="41"/>
      <c r="E8" s="42"/>
      <c r="F8" s="43">
        <f>B8+C8+E8</f>
        <v>798.7856128743806</v>
      </c>
      <c r="G8" s="44">
        <f>E48</f>
        <v>153.13607775871927</v>
      </c>
      <c r="H8" s="42"/>
      <c r="I8" s="42"/>
      <c r="J8" s="45">
        <f>E48</f>
        <v>153.13607775871927</v>
      </c>
      <c r="K8" s="39">
        <f>F8-J8-H8</f>
        <v>645.64953511566137</v>
      </c>
      <c r="L8" s="32">
        <v>770</v>
      </c>
      <c r="M8" s="32">
        <v>620</v>
      </c>
      <c r="N8" s="46">
        <f>J8</f>
        <v>153.13607775871927</v>
      </c>
      <c r="O8" s="231">
        <f>+F48</f>
        <v>17.489999999999998</v>
      </c>
      <c r="P8" s="47">
        <f>N8*O8</f>
        <v>2678.35</v>
      </c>
      <c r="Q8" s="36">
        <f>+M8-K8</f>
        <v>-25.649535115661365</v>
      </c>
    </row>
    <row r="9" spans="1:18" s="37" customFormat="1" x14ac:dyDescent="0.25">
      <c r="A9" s="459" t="s">
        <v>143</v>
      </c>
      <c r="B9" s="39">
        <v>2759.3518658866847</v>
      </c>
      <c r="C9" s="40">
        <f>M31</f>
        <v>0</v>
      </c>
      <c r="D9" s="41"/>
      <c r="E9" s="42"/>
      <c r="F9" s="43">
        <f>B9+C9+E9</f>
        <v>2759.3518658866847</v>
      </c>
      <c r="G9" s="44">
        <f>E49</f>
        <v>595.82855321861052</v>
      </c>
      <c r="H9" s="42"/>
      <c r="I9" s="42"/>
      <c r="J9" s="45">
        <f>E49</f>
        <v>595.82855321861052</v>
      </c>
      <c r="K9" s="39">
        <f>F9-J9-H9</f>
        <v>2163.5233126680741</v>
      </c>
      <c r="L9" s="32">
        <v>2700</v>
      </c>
      <c r="M9" s="32">
        <v>2110</v>
      </c>
      <c r="N9" s="46">
        <f>J9</f>
        <v>595.82855321861052</v>
      </c>
      <c r="O9" s="231">
        <f>+F49</f>
        <v>15.69</v>
      </c>
      <c r="P9" s="47">
        <f>N9*O9</f>
        <v>9348.5499999999993</v>
      </c>
      <c r="Q9" s="36">
        <f>+M9-K9</f>
        <v>-53.523312668074141</v>
      </c>
    </row>
    <row r="10" spans="1:18" s="37" customFormat="1" ht="15.75" thickBot="1" x14ac:dyDescent="0.3">
      <c r="A10" s="460" t="s">
        <v>33</v>
      </c>
      <c r="B10" s="48">
        <v>1407.3896619179145</v>
      </c>
      <c r="C10" s="49">
        <f>M33</f>
        <v>1970</v>
      </c>
      <c r="D10" s="50"/>
      <c r="E10" s="51"/>
      <c r="F10" s="52">
        <f>B10+C10+E10</f>
        <v>3377.3896619179145</v>
      </c>
      <c r="G10" s="53">
        <f>E51</f>
        <v>170.58883899935856</v>
      </c>
      <c r="H10" s="51"/>
      <c r="I10" s="51"/>
      <c r="J10" s="54">
        <f>E51</f>
        <v>170.58883899935856</v>
      </c>
      <c r="K10" s="48">
        <f>F10-J10-H10</f>
        <v>3206.8008229185562</v>
      </c>
      <c r="L10" s="32">
        <v>1410</v>
      </c>
      <c r="M10" s="32">
        <v>3210</v>
      </c>
      <c r="N10" s="55">
        <f>J10</f>
        <v>170.58883899935856</v>
      </c>
      <c r="O10" s="231">
        <f>+F51</f>
        <v>15.59</v>
      </c>
      <c r="P10" s="56">
        <f>N10*O10</f>
        <v>2659.48</v>
      </c>
      <c r="Q10" s="36">
        <f>+M10-K10</f>
        <v>3.1991770814438496</v>
      </c>
    </row>
    <row r="11" spans="1:18" s="37" customFormat="1" ht="15.75" thickBot="1" x14ac:dyDescent="0.3">
      <c r="A11" s="57" t="s">
        <v>34</v>
      </c>
      <c r="B11" s="58">
        <v>4436.5</v>
      </c>
      <c r="C11" s="59">
        <f>SUM(C7:C10)</f>
        <v>1970</v>
      </c>
      <c r="D11" s="60"/>
      <c r="E11" s="61"/>
      <c r="F11" s="62">
        <f>SUM(F7:F10)</f>
        <v>9579.8269797892117</v>
      </c>
      <c r="G11" s="63">
        <f>SUM(G7:G10)</f>
        <v>1635.4104270638143</v>
      </c>
      <c r="H11" s="58"/>
      <c r="I11" s="58"/>
      <c r="J11" s="64">
        <f>SUM(J7:J10)</f>
        <v>1635.4104270638143</v>
      </c>
      <c r="K11" s="58">
        <f>SUM(K7:K10)</f>
        <v>7944.416552725399</v>
      </c>
      <c r="L11" s="65" t="e">
        <f>L7+L8+L9+#REF!+L10</f>
        <v>#REF!</v>
      </c>
      <c r="M11" s="65" t="e">
        <f>M7+M8+M9+#REF!+M10</f>
        <v>#REF!</v>
      </c>
      <c r="N11" s="66">
        <f>SUM(N7:N10)</f>
        <v>1635.4104270638143</v>
      </c>
      <c r="O11" s="67"/>
      <c r="P11" s="68">
        <f>SUM(P7:P10)</f>
        <v>20191.319999999996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1635.4104270638143</v>
      </c>
      <c r="P13" s="83">
        <f>+P11</f>
        <v>20191.319999999996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3747.67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1113.8399999999999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132</v>
      </c>
      <c r="N25" s="121"/>
      <c r="O25" s="271"/>
      <c r="P25" s="250">
        <v>38.619999999999997</v>
      </c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15291.189999999993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83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>
        <v>1970</v>
      </c>
      <c r="N33" s="149" t="s">
        <v>133</v>
      </c>
      <c r="O33" s="141"/>
      <c r="P33" s="141" t="s">
        <v>79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86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4391.1000000000004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10900.9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2019.92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1727.75</v>
      </c>
      <c r="F42" s="327">
        <v>1113.8399999999999</v>
      </c>
      <c r="G42" s="322"/>
      <c r="H42" s="240"/>
      <c r="I42" s="426"/>
      <c r="J42" s="259" t="s">
        <v>34</v>
      </c>
      <c r="K42" s="328">
        <f>SUM(K39:K41)-K41</f>
        <v>15292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3747.67</v>
      </c>
      <c r="F43" s="327">
        <f>SUM(F41:F42)</f>
        <v>1113.8399999999999</v>
      </c>
      <c r="G43" s="322">
        <f>SUM(E43:F43)</f>
        <v>4861.51</v>
      </c>
      <c r="H43" s="240"/>
      <c r="I43" s="426"/>
      <c r="J43" s="229" t="s">
        <v>106</v>
      </c>
      <c r="K43" s="294">
        <f>P27-K42</f>
        <v>-0.81000000000676664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715.85695708712603</v>
      </c>
      <c r="F47" s="231">
        <v>7.69</v>
      </c>
      <c r="G47" s="349">
        <v>5504.94</v>
      </c>
      <c r="M47" s="37"/>
    </row>
    <row r="48" spans="1:16" x14ac:dyDescent="0.25">
      <c r="D48" s="350" t="s">
        <v>110</v>
      </c>
      <c r="E48" s="351">
        <f>+G48/F48</f>
        <v>153.13607775871927</v>
      </c>
      <c r="F48" s="218">
        <v>17.489999999999998</v>
      </c>
      <c r="G48" s="352">
        <v>2678.35</v>
      </c>
      <c r="M48" s="37"/>
    </row>
    <row r="49" spans="4:14" x14ac:dyDescent="0.25">
      <c r="D49" s="350" t="s">
        <v>111</v>
      </c>
      <c r="E49" s="351">
        <f>+G49/F49</f>
        <v>595.82855321861052</v>
      </c>
      <c r="F49" s="218">
        <v>15.69</v>
      </c>
      <c r="G49" s="352">
        <v>9348.5499999999993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170.58883899935856</v>
      </c>
      <c r="F51" s="222">
        <v>15.59</v>
      </c>
      <c r="G51" s="355">
        <v>2659.48</v>
      </c>
      <c r="M51" s="37"/>
      <c r="N51" s="37"/>
    </row>
    <row r="52" spans="4:14" ht="15.75" thickBot="1" x14ac:dyDescent="0.3">
      <c r="D52" s="356"/>
      <c r="E52" s="357">
        <f>SUM(E47:E51)</f>
        <v>1635.4104270638143</v>
      </c>
      <c r="F52" s="358"/>
      <c r="G52" s="359">
        <f>G47+G48+G49+G51</f>
        <v>20191.319999999996</v>
      </c>
      <c r="K52" s="360">
        <f>G52-E43-F43-K42</f>
        <v>37.809999999994034</v>
      </c>
      <c r="M52" s="37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21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996921A-3F3B-427F-A809-E064F7A756E3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2" zoomScaleNormal="82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5.85546875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45738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447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55" t="s">
        <v>28</v>
      </c>
      <c r="B7" s="24">
        <v>1928.4428820231069</v>
      </c>
      <c r="C7" s="25">
        <f>M34/2.0185</f>
        <v>0</v>
      </c>
      <c r="D7" s="26"/>
      <c r="E7" s="27"/>
      <c r="F7" s="28">
        <f>B7+C7+E7</f>
        <v>1928.4428820231069</v>
      </c>
      <c r="G7" s="29">
        <f>E47</f>
        <v>542.94668400520152</v>
      </c>
      <c r="H7" s="30"/>
      <c r="I7" s="30"/>
      <c r="J7" s="31">
        <f>E47</f>
        <v>542.94668400520152</v>
      </c>
      <c r="K7" s="24">
        <f>F7-J7-H7</f>
        <v>1385.4961980179055</v>
      </c>
      <c r="L7" s="32">
        <v>2100</v>
      </c>
      <c r="M7" s="32">
        <v>1600</v>
      </c>
      <c r="N7" s="33">
        <f>J7</f>
        <v>542.94668400520152</v>
      </c>
      <c r="O7" s="231">
        <f>+F47</f>
        <v>7.69</v>
      </c>
      <c r="P7" s="35">
        <f>N7*O7</f>
        <v>4175.26</v>
      </c>
      <c r="Q7" s="36">
        <f>+M7-K7</f>
        <v>214.5038019820945</v>
      </c>
      <c r="R7" s="37" t="s">
        <v>29</v>
      </c>
    </row>
    <row r="8" spans="1:18" s="37" customFormat="1" ht="33.75" x14ac:dyDescent="0.25">
      <c r="A8" s="455" t="s">
        <v>142</v>
      </c>
      <c r="B8" s="39">
        <v>645.64953511566137</v>
      </c>
      <c r="C8" s="40">
        <f>M30</f>
        <v>0</v>
      </c>
      <c r="D8" s="41"/>
      <c r="E8" s="42"/>
      <c r="F8" s="43">
        <f>B8+C8+E8</f>
        <v>645.64953511566137</v>
      </c>
      <c r="G8" s="44">
        <f>E48</f>
        <v>229.79245283018872</v>
      </c>
      <c r="H8" s="42"/>
      <c r="I8" s="42"/>
      <c r="J8" s="45">
        <f>E48</f>
        <v>229.79245283018872</v>
      </c>
      <c r="K8" s="39">
        <f>F8-J8-H8</f>
        <v>415.85708228547264</v>
      </c>
      <c r="L8" s="32">
        <v>620</v>
      </c>
      <c r="M8" s="32">
        <v>400</v>
      </c>
      <c r="N8" s="46">
        <f>J8</f>
        <v>229.79245283018872</v>
      </c>
      <c r="O8" s="231">
        <f>+F48</f>
        <v>17.489999999999998</v>
      </c>
      <c r="P8" s="47">
        <f>N8*O8</f>
        <v>4019.0700000000006</v>
      </c>
      <c r="Q8" s="36">
        <f>+M8-K8</f>
        <v>-15.857082285472643</v>
      </c>
    </row>
    <row r="9" spans="1:18" s="37" customFormat="1" x14ac:dyDescent="0.25">
      <c r="A9" s="456" t="s">
        <v>143</v>
      </c>
      <c r="B9" s="39">
        <v>2163.5233126680741</v>
      </c>
      <c r="C9" s="40">
        <f>M31</f>
        <v>0</v>
      </c>
      <c r="D9" s="41"/>
      <c r="E9" s="42"/>
      <c r="F9" s="43">
        <f>B9+C9+E9</f>
        <v>2163.5233126680741</v>
      </c>
      <c r="G9" s="44">
        <f>E49</f>
        <v>589.41108986615689</v>
      </c>
      <c r="H9" s="42"/>
      <c r="I9" s="42"/>
      <c r="J9" s="45">
        <f>E49</f>
        <v>589.41108986615689</v>
      </c>
      <c r="K9" s="39">
        <f>F9-J9-H9</f>
        <v>1574.1122228019171</v>
      </c>
      <c r="L9" s="32">
        <v>2110</v>
      </c>
      <c r="M9" s="32">
        <v>1520</v>
      </c>
      <c r="N9" s="46">
        <f>J9</f>
        <v>589.41108986615689</v>
      </c>
      <c r="O9" s="231">
        <f>+F49</f>
        <v>15.69</v>
      </c>
      <c r="P9" s="47">
        <f>N9*O9</f>
        <v>9247.86</v>
      </c>
      <c r="Q9" s="36">
        <f>+M9-K9</f>
        <v>-54.112222801917142</v>
      </c>
    </row>
    <row r="10" spans="1:18" s="37" customFormat="1" ht="15.75" thickBot="1" x14ac:dyDescent="0.3">
      <c r="A10" s="457" t="s">
        <v>33</v>
      </c>
      <c r="B10" s="48">
        <v>3206.8008229185562</v>
      </c>
      <c r="C10" s="49">
        <f>M33</f>
        <v>0</v>
      </c>
      <c r="D10" s="50"/>
      <c r="E10" s="51"/>
      <c r="F10" s="52">
        <f>B10+C10+E10</f>
        <v>3206.8008229185562</v>
      </c>
      <c r="G10" s="53">
        <f>E51</f>
        <v>190.62732520846697</v>
      </c>
      <c r="H10" s="51"/>
      <c r="I10" s="51"/>
      <c r="J10" s="54">
        <f>E51</f>
        <v>190.62732520846697</v>
      </c>
      <c r="K10" s="48">
        <f>F10-J10-H10</f>
        <v>3016.1734977100891</v>
      </c>
      <c r="L10" s="32">
        <v>3210</v>
      </c>
      <c r="M10" s="32">
        <v>3030</v>
      </c>
      <c r="N10" s="55">
        <f>J10</f>
        <v>190.62732520846697</v>
      </c>
      <c r="O10" s="231">
        <f>+F51</f>
        <v>15.59</v>
      </c>
      <c r="P10" s="56">
        <f>N10*O10</f>
        <v>2971.88</v>
      </c>
      <c r="Q10" s="36">
        <f>+M10-K10</f>
        <v>13.826502289910877</v>
      </c>
    </row>
    <row r="11" spans="1:18" s="37" customFormat="1" ht="15.75" thickBot="1" x14ac:dyDescent="0.3">
      <c r="A11" s="57" t="s">
        <v>34</v>
      </c>
      <c r="B11" s="58">
        <v>7944.42</v>
      </c>
      <c r="C11" s="59">
        <f>SUM(C7:C10)</f>
        <v>0</v>
      </c>
      <c r="D11" s="60"/>
      <c r="E11" s="61"/>
      <c r="F11" s="62">
        <f>SUM(F7:F10)</f>
        <v>7944.416552725399</v>
      </c>
      <c r="G11" s="63">
        <f>SUM(G7:G10)</f>
        <v>1552.7775519100142</v>
      </c>
      <c r="H11" s="58"/>
      <c r="I11" s="58"/>
      <c r="J11" s="64">
        <f>SUM(J7:J10)</f>
        <v>1552.7775519100142</v>
      </c>
      <c r="K11" s="58">
        <f>SUM(K7:K10)</f>
        <v>6391.6390008153849</v>
      </c>
      <c r="L11" s="65" t="e">
        <f>L7+L8+L9+#REF!+L10</f>
        <v>#REF!</v>
      </c>
      <c r="M11" s="65" t="e">
        <f>M7+M8+M9+#REF!+M10</f>
        <v>#REF!</v>
      </c>
      <c r="N11" s="66">
        <f>SUM(N7:N10)</f>
        <v>1552.7775519100142</v>
      </c>
      <c r="O11" s="67"/>
      <c r="P11" s="68">
        <f>SUM(P7:P10)</f>
        <v>20414.070000000003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1552.7775519100142</v>
      </c>
      <c r="P13" s="83">
        <f>+P11</f>
        <v>20414.070000000003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4682.05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851.46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300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132</v>
      </c>
      <c r="N25" s="121"/>
      <c r="O25" s="271"/>
      <c r="P25" s="250">
        <v>0</v>
      </c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14580.560000000005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83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79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86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3323.8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11256.5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2229.65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2452.4</v>
      </c>
      <c r="F42" s="327">
        <v>851.46</v>
      </c>
      <c r="G42" s="322"/>
      <c r="H42" s="240"/>
      <c r="I42" s="426"/>
      <c r="J42" s="259" t="s">
        <v>34</v>
      </c>
      <c r="K42" s="328">
        <f>SUM(K39:K41)-K41</f>
        <v>14580.3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4682.05</v>
      </c>
      <c r="F43" s="327">
        <f>SUM(F41:F42)</f>
        <v>851.46</v>
      </c>
      <c r="G43" s="322">
        <f>SUM(E43:F43)</f>
        <v>5533.51</v>
      </c>
      <c r="H43" s="240"/>
      <c r="I43" s="426"/>
      <c r="J43" s="229" t="s">
        <v>106</v>
      </c>
      <c r="K43" s="294">
        <f>P27-K42</f>
        <v>0.26000000000567525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542.94668400520152</v>
      </c>
      <c r="F47" s="231">
        <v>7.69</v>
      </c>
      <c r="G47" s="349">
        <v>4175.26</v>
      </c>
      <c r="M47" s="37"/>
    </row>
    <row r="48" spans="1:16" x14ac:dyDescent="0.25">
      <c r="D48" s="350" t="s">
        <v>110</v>
      </c>
      <c r="E48" s="351">
        <f>+G48/F48</f>
        <v>229.79245283018872</v>
      </c>
      <c r="F48" s="218">
        <v>17.489999999999998</v>
      </c>
      <c r="G48" s="352">
        <v>4019.07</v>
      </c>
      <c r="M48" s="37"/>
    </row>
    <row r="49" spans="4:14" x14ac:dyDescent="0.25">
      <c r="D49" s="350" t="s">
        <v>111</v>
      </c>
      <c r="E49" s="351">
        <f>+G49/F49</f>
        <v>589.41108986615689</v>
      </c>
      <c r="F49" s="218">
        <v>15.69</v>
      </c>
      <c r="G49" s="352">
        <v>9247.86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190.62732520846697</v>
      </c>
      <c r="F51" s="222">
        <v>15.59</v>
      </c>
      <c r="G51" s="355">
        <v>2971.88</v>
      </c>
      <c r="M51" s="37"/>
      <c r="N51" s="37"/>
    </row>
    <row r="52" spans="4:14" ht="15.75" thickBot="1" x14ac:dyDescent="0.3">
      <c r="D52" s="356"/>
      <c r="E52" s="357">
        <f>SUM(E47:E51)</f>
        <v>1552.7775519100142</v>
      </c>
      <c r="F52" s="358"/>
      <c r="G52" s="359">
        <f>G47+G48+G49+G51</f>
        <v>20414.070000000003</v>
      </c>
      <c r="K52" s="360">
        <f>G52-E43-F43-K42</f>
        <v>300.26000000000568</v>
      </c>
      <c r="M52" s="37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19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F8350FC-9ABF-4920-8EF0-41C342793991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7" zoomScaleNormal="87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7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45739</v>
      </c>
      <c r="P2" s="10" t="s">
        <v>7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448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52" t="s">
        <v>28</v>
      </c>
      <c r="B7" s="24">
        <v>1385.4961980179055</v>
      </c>
      <c r="C7" s="25">
        <f>M34/2.0185</f>
        <v>2353.2325984642061</v>
      </c>
      <c r="D7" s="26"/>
      <c r="E7" s="27"/>
      <c r="F7" s="28">
        <f>B7+C7+E7</f>
        <v>3738.7287964821116</v>
      </c>
      <c r="G7" s="29">
        <f>E47</f>
        <v>625.51235370611175</v>
      </c>
      <c r="H7" s="30"/>
      <c r="I7" s="30"/>
      <c r="J7" s="31">
        <f>E47</f>
        <v>625.51235370611175</v>
      </c>
      <c r="K7" s="24">
        <f>F7-J7-H7</f>
        <v>3113.2164427759999</v>
      </c>
      <c r="L7" s="32">
        <v>1600</v>
      </c>
      <c r="M7" s="32">
        <v>3350</v>
      </c>
      <c r="N7" s="33">
        <f>J7</f>
        <v>625.51235370611175</v>
      </c>
      <c r="O7" s="231">
        <f>+F47</f>
        <v>7.69</v>
      </c>
      <c r="P7" s="35">
        <f>N7*O7</f>
        <v>4810.1899999999996</v>
      </c>
      <c r="Q7" s="36">
        <f>+M7-K7</f>
        <v>236.78355722400011</v>
      </c>
      <c r="R7" s="37" t="s">
        <v>29</v>
      </c>
    </row>
    <row r="8" spans="1:18" s="37" customFormat="1" ht="33.75" x14ac:dyDescent="0.25">
      <c r="A8" s="452" t="s">
        <v>142</v>
      </c>
      <c r="B8" s="39">
        <v>415.85708228547264</v>
      </c>
      <c r="C8" s="40">
        <f>M30</f>
        <v>0</v>
      </c>
      <c r="D8" s="41"/>
      <c r="E8" s="42"/>
      <c r="F8" s="43">
        <f>B8+C8+E8</f>
        <v>415.85708228547264</v>
      </c>
      <c r="G8" s="44">
        <f>E48</f>
        <v>157.30474556889655</v>
      </c>
      <c r="H8" s="42"/>
      <c r="I8" s="42"/>
      <c r="J8" s="45">
        <f>E48</f>
        <v>157.30474556889655</v>
      </c>
      <c r="K8" s="39">
        <f>F8-J8-H8</f>
        <v>258.55233671657606</v>
      </c>
      <c r="L8" s="32">
        <v>400</v>
      </c>
      <c r="M8" s="32">
        <v>230</v>
      </c>
      <c r="N8" s="46">
        <f>J8</f>
        <v>157.30474556889655</v>
      </c>
      <c r="O8" s="231">
        <f>+F48</f>
        <v>17.489999999999998</v>
      </c>
      <c r="P8" s="47">
        <f>N8*O8</f>
        <v>2751.26</v>
      </c>
      <c r="Q8" s="36">
        <f>+M8-K8</f>
        <v>-28.552336716576065</v>
      </c>
    </row>
    <row r="9" spans="1:18" s="37" customFormat="1" x14ac:dyDescent="0.25">
      <c r="A9" s="453" t="s">
        <v>143</v>
      </c>
      <c r="B9" s="39">
        <v>1574.1122228019171</v>
      </c>
      <c r="C9" s="40">
        <f>M31</f>
        <v>0</v>
      </c>
      <c r="D9" s="41"/>
      <c r="E9" s="42"/>
      <c r="F9" s="43">
        <f>B9+C9+E9</f>
        <v>1574.1122228019171</v>
      </c>
      <c r="G9" s="44">
        <f>E49</f>
        <v>539.64754620777569</v>
      </c>
      <c r="H9" s="42"/>
      <c r="I9" s="42"/>
      <c r="J9" s="45">
        <f>E49</f>
        <v>539.64754620777569</v>
      </c>
      <c r="K9" s="39">
        <f>F9-J9-H9</f>
        <v>1034.4646765941416</v>
      </c>
      <c r="L9" s="32">
        <v>1520</v>
      </c>
      <c r="M9" s="32">
        <v>980</v>
      </c>
      <c r="N9" s="46">
        <f>J9</f>
        <v>539.64754620777569</v>
      </c>
      <c r="O9" s="231">
        <f>+F49</f>
        <v>15.69</v>
      </c>
      <c r="P9" s="47">
        <f>N9*O9</f>
        <v>8467.07</v>
      </c>
      <c r="Q9" s="36">
        <f>+M9-K9</f>
        <v>-54.464676594141565</v>
      </c>
    </row>
    <row r="10" spans="1:18" s="37" customFormat="1" ht="15.75" thickBot="1" x14ac:dyDescent="0.3">
      <c r="A10" s="454" t="s">
        <v>33</v>
      </c>
      <c r="B10" s="48">
        <v>3016.1734977100891</v>
      </c>
      <c r="C10" s="49">
        <f>M33</f>
        <v>0</v>
      </c>
      <c r="D10" s="50"/>
      <c r="E10" s="51"/>
      <c r="F10" s="52">
        <f>B10+C10+E10</f>
        <v>3016.1734977100891</v>
      </c>
      <c r="G10" s="53">
        <f>E51</f>
        <v>174.51571520205258</v>
      </c>
      <c r="H10" s="51"/>
      <c r="I10" s="51"/>
      <c r="J10" s="54">
        <f>E51</f>
        <v>174.51571520205258</v>
      </c>
      <c r="K10" s="48">
        <f>F10-J10-H10</f>
        <v>2841.6577825080367</v>
      </c>
      <c r="L10" s="32">
        <v>3030</v>
      </c>
      <c r="M10" s="32">
        <v>2850</v>
      </c>
      <c r="N10" s="55">
        <f>J10</f>
        <v>174.51571520205258</v>
      </c>
      <c r="O10" s="231">
        <f>+F51</f>
        <v>15.59</v>
      </c>
      <c r="P10" s="56">
        <f>N10*O10</f>
        <v>2720.7</v>
      </c>
      <c r="Q10" s="36">
        <f>+M10-K10</f>
        <v>8.3422174919633107</v>
      </c>
    </row>
    <row r="11" spans="1:18" s="37" customFormat="1" ht="15.75" thickBot="1" x14ac:dyDescent="0.3">
      <c r="A11" s="57" t="s">
        <v>34</v>
      </c>
      <c r="B11" s="58">
        <v>6391.64</v>
      </c>
      <c r="C11" s="59">
        <f>SUM(C7:C10)</f>
        <v>2353.2325984642061</v>
      </c>
      <c r="D11" s="60"/>
      <c r="E11" s="61"/>
      <c r="F11" s="62">
        <f>SUM(F7:F10)</f>
        <v>8744.8715992795915</v>
      </c>
      <c r="G11" s="63">
        <f>SUM(G7:G10)</f>
        <v>1496.9803606848366</v>
      </c>
      <c r="H11" s="58"/>
      <c r="I11" s="58"/>
      <c r="J11" s="64">
        <f>SUM(J7:J10)</f>
        <v>1496.9803606848366</v>
      </c>
      <c r="K11" s="58">
        <f>SUM(K7:K10)</f>
        <v>7247.8912385947542</v>
      </c>
      <c r="L11" s="65" t="e">
        <f>L7+L8+L9+#REF!+L10</f>
        <v>#REF!</v>
      </c>
      <c r="M11" s="65" t="e">
        <f>M7+M8+M9+#REF!+M10</f>
        <v>#REF!</v>
      </c>
      <c r="N11" s="66">
        <f>SUM(N7:N10)</f>
        <v>1496.9803606848366</v>
      </c>
      <c r="O11" s="67"/>
      <c r="P11" s="68">
        <f>SUM(P7:P10)</f>
        <v>18749.22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1496.9803606848366</v>
      </c>
      <c r="P13" s="83">
        <f>+P11</f>
        <v>18749.22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3287.7200000000003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2083.09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132</v>
      </c>
      <c r="N25" s="121"/>
      <c r="O25" s="271"/>
      <c r="P25" s="250">
        <v>0</v>
      </c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13378.41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83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79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>
        <v>4750</v>
      </c>
      <c r="N34" s="141" t="s">
        <v>134</v>
      </c>
      <c r="O34" s="147"/>
      <c r="P34" s="152" t="s">
        <v>120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2727.1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10651.4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2061.33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1226.3900000000001</v>
      </c>
      <c r="F42" s="327">
        <v>2083.09</v>
      </c>
      <c r="G42" s="322"/>
      <c r="H42" s="240"/>
      <c r="I42" s="426"/>
      <c r="J42" s="259" t="s">
        <v>34</v>
      </c>
      <c r="K42" s="328">
        <f>SUM(K39:K41)-K41</f>
        <v>13378.5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3287.7200000000003</v>
      </c>
      <c r="F43" s="327">
        <f>SUM(F41:F42)</f>
        <v>2083.09</v>
      </c>
      <c r="G43" s="322">
        <f>SUM(E43:F43)</f>
        <v>5370.81</v>
      </c>
      <c r="H43" s="240"/>
      <c r="I43" s="426"/>
      <c r="J43" s="229" t="s">
        <v>106</v>
      </c>
      <c r="K43" s="294">
        <f>P27-K42</f>
        <v>-9.0000000000145519E-2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625.51235370611175</v>
      </c>
      <c r="F47" s="231">
        <v>7.69</v>
      </c>
      <c r="G47" s="349">
        <v>4810.1899999999996</v>
      </c>
      <c r="M47" s="37"/>
    </row>
    <row r="48" spans="1:16" x14ac:dyDescent="0.25">
      <c r="D48" s="350" t="s">
        <v>110</v>
      </c>
      <c r="E48" s="351">
        <f>+G48/F48</f>
        <v>157.30474556889655</v>
      </c>
      <c r="F48" s="218">
        <v>17.489999999999998</v>
      </c>
      <c r="G48" s="352">
        <v>2751.26</v>
      </c>
      <c r="M48" s="37"/>
    </row>
    <row r="49" spans="4:14" x14ac:dyDescent="0.25">
      <c r="D49" s="350" t="s">
        <v>111</v>
      </c>
      <c r="E49" s="351">
        <f>+G49/F49</f>
        <v>539.64754620777569</v>
      </c>
      <c r="F49" s="218">
        <v>15.69</v>
      </c>
      <c r="G49" s="352">
        <v>8467.07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174.51571520205258</v>
      </c>
      <c r="F51" s="222">
        <v>15.59</v>
      </c>
      <c r="G51" s="355">
        <v>2720.7</v>
      </c>
      <c r="M51" s="37"/>
      <c r="N51" s="37"/>
    </row>
    <row r="52" spans="4:14" ht="15.75" thickBot="1" x14ac:dyDescent="0.3">
      <c r="D52" s="356"/>
      <c r="E52" s="357">
        <f>SUM(E47:E51)</f>
        <v>1496.9803606848366</v>
      </c>
      <c r="F52" s="358"/>
      <c r="G52" s="359">
        <f>G47+G48+G49+G51</f>
        <v>18749.22</v>
      </c>
      <c r="K52" s="360">
        <f>G52-E43-F43-K42</f>
        <v>-9.0000000000145519E-2</v>
      </c>
      <c r="M52" s="37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17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B7A93E7-A74D-4786-BBF8-D358BC108384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7" zoomScaleNormal="87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7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45740</v>
      </c>
      <c r="P2" s="10" t="s">
        <v>136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449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49" t="s">
        <v>28</v>
      </c>
      <c r="B7" s="24">
        <v>3113.2164427759999</v>
      </c>
      <c r="C7" s="25">
        <f>M34/2.0185</f>
        <v>0</v>
      </c>
      <c r="D7" s="26"/>
      <c r="E7" s="27"/>
      <c r="F7" s="28">
        <f>B7+C7+E7</f>
        <v>3113.2164427759999</v>
      </c>
      <c r="G7" s="29">
        <f>E47</f>
        <v>581.21846553966179</v>
      </c>
      <c r="H7" s="30"/>
      <c r="I7" s="30"/>
      <c r="J7" s="31">
        <f>E47</f>
        <v>581.21846553966179</v>
      </c>
      <c r="K7" s="24">
        <f>F7-J7-H7</f>
        <v>2531.9979772363381</v>
      </c>
      <c r="L7" s="32">
        <v>3350</v>
      </c>
      <c r="M7" s="32">
        <v>2750</v>
      </c>
      <c r="N7" s="33">
        <f>J7</f>
        <v>581.21846553966179</v>
      </c>
      <c r="O7" s="231">
        <f>+F47</f>
        <v>7.69</v>
      </c>
      <c r="P7" s="35">
        <f>N7*O7</f>
        <v>4469.57</v>
      </c>
      <c r="Q7" s="36">
        <f>+M7-K7</f>
        <v>218.0020227636619</v>
      </c>
      <c r="R7" s="37" t="s">
        <v>29</v>
      </c>
    </row>
    <row r="8" spans="1:18" s="37" customFormat="1" ht="33.75" x14ac:dyDescent="0.25">
      <c r="A8" s="449" t="s">
        <v>142</v>
      </c>
      <c r="B8" s="39">
        <v>258.55233671657606</v>
      </c>
      <c r="C8" s="40">
        <f>M30</f>
        <v>1970</v>
      </c>
      <c r="D8" s="41"/>
      <c r="E8" s="42"/>
      <c r="F8" s="43">
        <f>B8+C8+E8</f>
        <v>2228.5523367165761</v>
      </c>
      <c r="G8" s="44">
        <f>E48</f>
        <v>199.65980560320185</v>
      </c>
      <c r="H8" s="42"/>
      <c r="I8" s="42"/>
      <c r="J8" s="45">
        <f>E48</f>
        <v>199.65980560320185</v>
      </c>
      <c r="K8" s="39">
        <f>F8-J8-H8</f>
        <v>2028.8925311133742</v>
      </c>
      <c r="L8" s="32">
        <v>230</v>
      </c>
      <c r="M8" s="32">
        <v>1990</v>
      </c>
      <c r="N8" s="46">
        <f>J8</f>
        <v>199.65980560320185</v>
      </c>
      <c r="O8" s="231">
        <f>+F48</f>
        <v>17.489999999999998</v>
      </c>
      <c r="P8" s="47">
        <f>N8*O8</f>
        <v>3492.05</v>
      </c>
      <c r="Q8" s="36">
        <f>+M8-K8</f>
        <v>-38.892531113374162</v>
      </c>
    </row>
    <row r="9" spans="1:18" s="37" customFormat="1" x14ac:dyDescent="0.25">
      <c r="A9" s="450" t="s">
        <v>143</v>
      </c>
      <c r="B9" s="39">
        <v>1034.4646765941416</v>
      </c>
      <c r="C9" s="40">
        <f>M31</f>
        <v>2900</v>
      </c>
      <c r="D9" s="41"/>
      <c r="E9" s="42"/>
      <c r="F9" s="43">
        <f>B9+C9+E9</f>
        <v>3934.4646765941416</v>
      </c>
      <c r="G9" s="44">
        <f>E49</f>
        <v>648.21351179094961</v>
      </c>
      <c r="H9" s="42"/>
      <c r="I9" s="42"/>
      <c r="J9" s="45">
        <f>E49</f>
        <v>648.21351179094961</v>
      </c>
      <c r="K9" s="39">
        <f>F9-J9-H9</f>
        <v>3286.2511648031918</v>
      </c>
      <c r="L9" s="32">
        <v>980</v>
      </c>
      <c r="M9" s="32">
        <v>3230</v>
      </c>
      <c r="N9" s="46">
        <f>J9</f>
        <v>648.21351179094961</v>
      </c>
      <c r="O9" s="231">
        <f>+F49</f>
        <v>15.69</v>
      </c>
      <c r="P9" s="47">
        <f>N9*O9</f>
        <v>10170.469999999999</v>
      </c>
      <c r="Q9" s="36">
        <f>+M9-K9</f>
        <v>-56.251164803191841</v>
      </c>
    </row>
    <row r="10" spans="1:18" s="37" customFormat="1" ht="15.75" thickBot="1" x14ac:dyDescent="0.3">
      <c r="A10" s="451" t="s">
        <v>33</v>
      </c>
      <c r="B10" s="48">
        <v>2841.6577825080367</v>
      </c>
      <c r="C10" s="49">
        <f>M33</f>
        <v>0</v>
      </c>
      <c r="D10" s="50"/>
      <c r="E10" s="51"/>
      <c r="F10" s="52">
        <f>B10+C10+E10</f>
        <v>2841.6577825080367</v>
      </c>
      <c r="G10" s="53">
        <f>E51</f>
        <v>176.8389993585632</v>
      </c>
      <c r="H10" s="51"/>
      <c r="I10" s="51"/>
      <c r="J10" s="54">
        <f>E51</f>
        <v>176.8389993585632</v>
      </c>
      <c r="K10" s="48">
        <f>F10-J10-H10</f>
        <v>2664.8187831494733</v>
      </c>
      <c r="L10" s="32">
        <v>2850</v>
      </c>
      <c r="M10" s="32">
        <v>2670</v>
      </c>
      <c r="N10" s="55">
        <f>J10</f>
        <v>176.8389993585632</v>
      </c>
      <c r="O10" s="231">
        <f>+F51</f>
        <v>15.59</v>
      </c>
      <c r="P10" s="56">
        <f>N10*O10</f>
        <v>2756.92</v>
      </c>
      <c r="Q10" s="36">
        <f>+M10-K10</f>
        <v>5.1812168505266527</v>
      </c>
    </row>
    <row r="11" spans="1:18" s="37" customFormat="1" ht="15.75" thickBot="1" x14ac:dyDescent="0.3">
      <c r="A11" s="57" t="s">
        <v>34</v>
      </c>
      <c r="B11" s="58">
        <v>7247.89</v>
      </c>
      <c r="C11" s="59">
        <f>SUM(C7:C10)</f>
        <v>4870</v>
      </c>
      <c r="D11" s="60"/>
      <c r="E11" s="61"/>
      <c r="F11" s="62">
        <f>SUM(F7:F10)</f>
        <v>12117.891238594753</v>
      </c>
      <c r="G11" s="63">
        <f>SUM(G7:G10)</f>
        <v>1605.9307822923763</v>
      </c>
      <c r="H11" s="58"/>
      <c r="I11" s="58"/>
      <c r="J11" s="64">
        <f>SUM(J7:J10)</f>
        <v>1605.9307822923763</v>
      </c>
      <c r="K11" s="58">
        <f>SUM(K7:K10)</f>
        <v>10511.960456302379</v>
      </c>
      <c r="L11" s="65" t="e">
        <f>L7+L8+L9+#REF!+L10</f>
        <v>#REF!</v>
      </c>
      <c r="M11" s="65" t="e">
        <f>M7+M8+M9+#REF!+M10</f>
        <v>#REF!</v>
      </c>
      <c r="N11" s="66">
        <f>SUM(N7:N10)</f>
        <v>1605.9307822923763</v>
      </c>
      <c r="O11" s="67"/>
      <c r="P11" s="68">
        <f>SUM(P7:P10)</f>
        <v>20889.010000000002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1605.9307822923763</v>
      </c>
      <c r="P13" s="83">
        <f>+P11</f>
        <v>20889.010000000002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3870.54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1940.07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132</v>
      </c>
      <c r="N25" s="121"/>
      <c r="O25" s="271"/>
      <c r="P25" s="250">
        <v>0</v>
      </c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15078.400000000001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>
        <v>1970</v>
      </c>
      <c r="N30" s="141" t="s">
        <v>135</v>
      </c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>
        <v>2900</v>
      </c>
      <c r="N31" s="141" t="s">
        <v>135</v>
      </c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83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79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120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2529.5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12549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2149.54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1721</v>
      </c>
      <c r="F42" s="327">
        <v>1940.07</v>
      </c>
      <c r="G42" s="322"/>
      <c r="H42" s="240"/>
      <c r="I42" s="426"/>
      <c r="J42" s="259" t="s">
        <v>34</v>
      </c>
      <c r="K42" s="328">
        <f>SUM(K39:K41)-K41</f>
        <v>15078.5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3870.54</v>
      </c>
      <c r="F43" s="327">
        <f>SUM(F41:F42)</f>
        <v>1940.07</v>
      </c>
      <c r="G43" s="322">
        <f>SUM(E43:F43)</f>
        <v>5810.61</v>
      </c>
      <c r="H43" s="240"/>
      <c r="I43" s="426"/>
      <c r="J43" s="229" t="s">
        <v>106</v>
      </c>
      <c r="K43" s="294">
        <f>P27-K42</f>
        <v>-9.9999999998544808E-2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581.21846553966179</v>
      </c>
      <c r="F47" s="231">
        <v>7.69</v>
      </c>
      <c r="G47" s="349">
        <v>4469.57</v>
      </c>
      <c r="M47" s="37"/>
    </row>
    <row r="48" spans="1:16" x14ac:dyDescent="0.25">
      <c r="D48" s="350" t="s">
        <v>110</v>
      </c>
      <c r="E48" s="351">
        <f>+G48/F48</f>
        <v>199.65980560320185</v>
      </c>
      <c r="F48" s="218">
        <v>17.489999999999998</v>
      </c>
      <c r="G48" s="352">
        <v>3492.05</v>
      </c>
      <c r="M48" s="37"/>
    </row>
    <row r="49" spans="4:14" x14ac:dyDescent="0.25">
      <c r="D49" s="350" t="s">
        <v>111</v>
      </c>
      <c r="E49" s="351">
        <f>+G49/F49</f>
        <v>648.21351179094961</v>
      </c>
      <c r="F49" s="218">
        <v>15.69</v>
      </c>
      <c r="G49" s="352">
        <v>10170.469999999999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176.8389993585632</v>
      </c>
      <c r="F51" s="222">
        <v>15.59</v>
      </c>
      <c r="G51" s="355">
        <v>2756.92</v>
      </c>
      <c r="M51" s="37"/>
      <c r="N51" s="37"/>
    </row>
    <row r="52" spans="4:14" ht="15.75" thickBot="1" x14ac:dyDescent="0.3">
      <c r="D52" s="356"/>
      <c r="E52" s="357">
        <f>SUM(E47:E51)</f>
        <v>1605.9307822923763</v>
      </c>
      <c r="F52" s="358"/>
      <c r="G52" s="359">
        <f>G47+G48+G49+G51</f>
        <v>20889.010000000002</v>
      </c>
      <c r="K52" s="360">
        <f>G52-E43-F43-K42</f>
        <v>-9.9999999998544808E-2</v>
      </c>
      <c r="M52" s="37"/>
    </row>
  </sheetData>
  <mergeCells count="53"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35:B35"/>
    <mergeCell ref="A36:B36"/>
    <mergeCell ref="A37:D37"/>
    <mergeCell ref="A38:D38"/>
    <mergeCell ref="J38:L38"/>
    <mergeCell ref="A44:C44"/>
    <mergeCell ref="M39:N39"/>
    <mergeCell ref="O39:P39"/>
    <mergeCell ref="A40:D40"/>
    <mergeCell ref="A41:D41"/>
    <mergeCell ref="A42:D42"/>
    <mergeCell ref="A43:D43"/>
    <mergeCell ref="A39:D39"/>
  </mergeCells>
  <conditionalFormatting sqref="Q7:Q11">
    <cfRule type="cellIs" dxfId="15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4E7E3AB-EC3C-41BF-9D94-061ECFF95CC0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7" zoomScaleNormal="87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7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45741</v>
      </c>
      <c r="P2" s="10" t="s">
        <v>136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450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46" t="s">
        <v>28</v>
      </c>
      <c r="B7" s="24">
        <v>2531.9979772363381</v>
      </c>
      <c r="C7" s="25">
        <f>M34/2.0185</f>
        <v>0</v>
      </c>
      <c r="D7" s="26"/>
      <c r="E7" s="27"/>
      <c r="F7" s="28">
        <f>B7+C7+E7</f>
        <v>2531.9979772363381</v>
      </c>
      <c r="G7" s="29">
        <f>E47</f>
        <v>658.28868660598175</v>
      </c>
      <c r="H7" s="30"/>
      <c r="I7" s="30"/>
      <c r="J7" s="31">
        <f>E47</f>
        <v>658.28868660598175</v>
      </c>
      <c r="K7" s="24">
        <f>F7-J7-H7</f>
        <v>1873.7092906303565</v>
      </c>
      <c r="L7" s="32">
        <v>2750</v>
      </c>
      <c r="M7" s="32">
        <v>2100</v>
      </c>
      <c r="N7" s="33">
        <f>J7</f>
        <v>658.28868660598175</v>
      </c>
      <c r="O7" s="231">
        <f>+F47</f>
        <v>7.69</v>
      </c>
      <c r="P7" s="35">
        <f>N7*O7</f>
        <v>5062.24</v>
      </c>
      <c r="Q7" s="36">
        <f>+M7-K7</f>
        <v>226.29070936964354</v>
      </c>
      <c r="R7" s="37" t="s">
        <v>29</v>
      </c>
    </row>
    <row r="8" spans="1:18" s="37" customFormat="1" ht="33.75" x14ac:dyDescent="0.25">
      <c r="A8" s="446" t="s">
        <v>142</v>
      </c>
      <c r="B8" s="39">
        <v>2028.8925311133742</v>
      </c>
      <c r="C8" s="40">
        <f>M30</f>
        <v>0</v>
      </c>
      <c r="D8" s="41"/>
      <c r="E8" s="42"/>
      <c r="F8" s="43">
        <f>B8+C8+E8</f>
        <v>2028.8925311133742</v>
      </c>
      <c r="G8" s="44">
        <f>E48</f>
        <v>114.19153802172671</v>
      </c>
      <c r="H8" s="42"/>
      <c r="I8" s="42"/>
      <c r="J8" s="45">
        <f>E48</f>
        <v>114.19153802172671</v>
      </c>
      <c r="K8" s="39">
        <f>F8-J8-H8</f>
        <v>1914.7009930916474</v>
      </c>
      <c r="L8" s="32">
        <v>1990</v>
      </c>
      <c r="M8" s="32">
        <v>1880</v>
      </c>
      <c r="N8" s="46">
        <f>J8</f>
        <v>114.19153802172671</v>
      </c>
      <c r="O8" s="231">
        <f>+F48</f>
        <v>17.489999999999998</v>
      </c>
      <c r="P8" s="47">
        <f>N8*O8</f>
        <v>1997.21</v>
      </c>
      <c r="Q8" s="36">
        <f>+M8-K8</f>
        <v>-34.700993091647433</v>
      </c>
    </row>
    <row r="9" spans="1:18" s="37" customFormat="1" x14ac:dyDescent="0.25">
      <c r="A9" s="447" t="s">
        <v>143</v>
      </c>
      <c r="B9" s="39">
        <v>3286.2511648031918</v>
      </c>
      <c r="C9" s="40">
        <f>M31</f>
        <v>0</v>
      </c>
      <c r="D9" s="41"/>
      <c r="E9" s="42"/>
      <c r="F9" s="43">
        <f>B9+C9+E9</f>
        <v>3286.2511648031918</v>
      </c>
      <c r="G9" s="44">
        <f>E49</f>
        <v>601.06947100063746</v>
      </c>
      <c r="H9" s="42"/>
      <c r="I9" s="42"/>
      <c r="J9" s="45">
        <f>E49</f>
        <v>601.06947100063746</v>
      </c>
      <c r="K9" s="39">
        <f>F9-J9-H9</f>
        <v>2685.1816938025545</v>
      </c>
      <c r="L9" s="32">
        <v>3230</v>
      </c>
      <c r="M9" s="32">
        <v>2630</v>
      </c>
      <c r="N9" s="46">
        <f>J9</f>
        <v>601.06947100063746</v>
      </c>
      <c r="O9" s="231">
        <f>+F49</f>
        <v>15.69</v>
      </c>
      <c r="P9" s="47">
        <f>N9*O9</f>
        <v>9430.7800000000007</v>
      </c>
      <c r="Q9" s="36">
        <f>+M9-K9</f>
        <v>-55.181693802554491</v>
      </c>
    </row>
    <row r="10" spans="1:18" s="37" customFormat="1" ht="15.75" thickBot="1" x14ac:dyDescent="0.3">
      <c r="A10" s="448" t="s">
        <v>33</v>
      </c>
      <c r="B10" s="48">
        <v>2664.8187831494733</v>
      </c>
      <c r="C10" s="49">
        <f>M33</f>
        <v>0</v>
      </c>
      <c r="D10" s="50"/>
      <c r="E10" s="51"/>
      <c r="F10" s="52">
        <f>B10+C10+E10</f>
        <v>2664.8187831494733</v>
      </c>
      <c r="G10" s="53">
        <f>E51</f>
        <v>176.05388069275176</v>
      </c>
      <c r="H10" s="51"/>
      <c r="I10" s="51"/>
      <c r="J10" s="54">
        <f>E51</f>
        <v>176.05388069275176</v>
      </c>
      <c r="K10" s="48">
        <f>F10-J10-H10</f>
        <v>2488.7649024567218</v>
      </c>
      <c r="L10" s="32">
        <v>2670</v>
      </c>
      <c r="M10" s="32">
        <v>2500</v>
      </c>
      <c r="N10" s="55">
        <f>J10</f>
        <v>176.05388069275176</v>
      </c>
      <c r="O10" s="231">
        <f>+F51</f>
        <v>15.59</v>
      </c>
      <c r="P10" s="56">
        <f>N10*O10</f>
        <v>2744.68</v>
      </c>
      <c r="Q10" s="36">
        <f>+M10-K10</f>
        <v>11.235097543278243</v>
      </c>
    </row>
    <row r="11" spans="1:18" s="37" customFormat="1" ht="15.75" thickBot="1" x14ac:dyDescent="0.3">
      <c r="A11" s="57" t="s">
        <v>34</v>
      </c>
      <c r="B11" s="58">
        <v>10511.96</v>
      </c>
      <c r="C11" s="59">
        <f>SUM(C7:C10)</f>
        <v>0</v>
      </c>
      <c r="D11" s="60"/>
      <c r="E11" s="61"/>
      <c r="F11" s="62">
        <f>SUM(F7:F10)</f>
        <v>10511.960456302379</v>
      </c>
      <c r="G11" s="63">
        <f>SUM(G7:G10)</f>
        <v>1549.6035763210978</v>
      </c>
      <c r="H11" s="58"/>
      <c r="I11" s="58"/>
      <c r="J11" s="64">
        <f>SUM(J7:J10)</f>
        <v>1549.6035763210978</v>
      </c>
      <c r="K11" s="58">
        <f>SUM(K7:K10)</f>
        <v>8962.3568799812801</v>
      </c>
      <c r="L11" s="65" t="e">
        <f>L7+L8+L9+#REF!+L10</f>
        <v>#REF!</v>
      </c>
      <c r="M11" s="65" t="e">
        <f>M7+M8+M9+#REF!+M10</f>
        <v>#REF!</v>
      </c>
      <c r="N11" s="66">
        <f>SUM(N7:N10)</f>
        <v>1549.6035763210978</v>
      </c>
      <c r="O11" s="67"/>
      <c r="P11" s="68">
        <f>SUM(P7:P10)</f>
        <v>19234.91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1549.6035763210978</v>
      </c>
      <c r="P13" s="83">
        <f>+P11</f>
        <v>19234.91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3006.7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1730.74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132</v>
      </c>
      <c r="N25" s="121"/>
      <c r="O25" s="271"/>
      <c r="P25" s="250">
        <v>0</v>
      </c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14497.47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83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79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120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3331.5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11165.3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2435.46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571.24</v>
      </c>
      <c r="F42" s="327">
        <v>1730.74</v>
      </c>
      <c r="G42" s="322"/>
      <c r="H42" s="240"/>
      <c r="I42" s="426"/>
      <c r="J42" s="259" t="s">
        <v>34</v>
      </c>
      <c r="K42" s="328">
        <f>SUM(K39:K41)-K41</f>
        <v>14496.8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3006.7</v>
      </c>
      <c r="F43" s="327">
        <f>SUM(F41:F42)</f>
        <v>1730.74</v>
      </c>
      <c r="G43" s="322">
        <f>SUM(E43:F43)</f>
        <v>4737.4399999999996</v>
      </c>
      <c r="H43" s="240"/>
      <c r="I43" s="426"/>
      <c r="J43" s="229" t="s">
        <v>106</v>
      </c>
      <c r="K43" s="294">
        <f>P27-K42</f>
        <v>0.67000000000007276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658.28868660598175</v>
      </c>
      <c r="F47" s="231">
        <v>7.69</v>
      </c>
      <c r="G47" s="349">
        <v>5062.24</v>
      </c>
      <c r="M47" s="37"/>
    </row>
    <row r="48" spans="1:16" x14ac:dyDescent="0.25">
      <c r="D48" s="350" t="s">
        <v>110</v>
      </c>
      <c r="E48" s="351">
        <f>+G48/F48</f>
        <v>114.19153802172671</v>
      </c>
      <c r="F48" s="218">
        <v>17.489999999999998</v>
      </c>
      <c r="G48" s="352">
        <v>1997.21</v>
      </c>
      <c r="M48" s="37"/>
    </row>
    <row r="49" spans="4:14" x14ac:dyDescent="0.25">
      <c r="D49" s="350" t="s">
        <v>111</v>
      </c>
      <c r="E49" s="351">
        <f>+G49/F49</f>
        <v>601.06947100063746</v>
      </c>
      <c r="F49" s="218">
        <v>15.69</v>
      </c>
      <c r="G49" s="352">
        <v>9430.7800000000007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176.05388069275176</v>
      </c>
      <c r="F51" s="222">
        <v>15.59</v>
      </c>
      <c r="G51" s="355">
        <v>2744.68</v>
      </c>
      <c r="M51" s="37"/>
      <c r="N51" s="37"/>
    </row>
    <row r="52" spans="4:14" ht="15.75" thickBot="1" x14ac:dyDescent="0.3">
      <c r="D52" s="356"/>
      <c r="E52" s="357">
        <f>SUM(E47:E51)</f>
        <v>1549.6035763210978</v>
      </c>
      <c r="F52" s="358"/>
      <c r="G52" s="359">
        <f>G47+G48+G49+G51</f>
        <v>19234.91</v>
      </c>
      <c r="K52" s="360">
        <f>G52-E43-F43-K42</f>
        <v>0.67000000000007276</v>
      </c>
      <c r="M52" s="37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13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A15D6A2-A6EE-4C77-B486-AE1E6C9DAD52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7" zoomScaleNormal="87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7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45742</v>
      </c>
      <c r="P2" s="10" t="s">
        <v>136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451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43" t="s">
        <v>28</v>
      </c>
      <c r="B7" s="24">
        <v>1873.7092906303565</v>
      </c>
      <c r="C7" s="25">
        <f>M34/2.0185</f>
        <v>1922.2194699033937</v>
      </c>
      <c r="D7" s="26"/>
      <c r="E7" s="27"/>
      <c r="F7" s="28">
        <f>B7+C7+E7</f>
        <v>3795.9287605337504</v>
      </c>
      <c r="G7" s="29">
        <f>E47</f>
        <v>556.8283485045514</v>
      </c>
      <c r="H7" s="30"/>
      <c r="I7" s="30"/>
      <c r="J7" s="31">
        <f>E47</f>
        <v>556.8283485045514</v>
      </c>
      <c r="K7" s="24">
        <f>F7-J7-H7</f>
        <v>3239.1004120291991</v>
      </c>
      <c r="L7" s="32">
        <v>2100</v>
      </c>
      <c r="M7" s="32">
        <v>3500</v>
      </c>
      <c r="N7" s="33">
        <f>J7</f>
        <v>556.8283485045514</v>
      </c>
      <c r="O7" s="231">
        <f>+F47</f>
        <v>7.69</v>
      </c>
      <c r="P7" s="35">
        <f>N7*O7</f>
        <v>4282.01</v>
      </c>
      <c r="Q7" s="36">
        <f>+M7-K7</f>
        <v>260.89958797080089</v>
      </c>
      <c r="R7" s="37" t="s">
        <v>29</v>
      </c>
    </row>
    <row r="8" spans="1:18" s="37" customFormat="1" ht="33.75" x14ac:dyDescent="0.25">
      <c r="A8" s="443" t="s">
        <v>142</v>
      </c>
      <c r="B8" s="39">
        <v>1914.7009930916474</v>
      </c>
      <c r="C8" s="40">
        <f>M30</f>
        <v>0</v>
      </c>
      <c r="D8" s="41"/>
      <c r="E8" s="42"/>
      <c r="F8" s="43">
        <f>B8+C8+E8</f>
        <v>1914.7009930916474</v>
      </c>
      <c r="G8" s="44">
        <f>E48</f>
        <v>142.01029159519729</v>
      </c>
      <c r="H8" s="42"/>
      <c r="I8" s="42"/>
      <c r="J8" s="45">
        <f>E48</f>
        <v>142.01029159519729</v>
      </c>
      <c r="K8" s="39">
        <f>F8-J8-H8</f>
        <v>1772.6907014964502</v>
      </c>
      <c r="L8" s="32">
        <v>1880</v>
      </c>
      <c r="M8" s="32">
        <v>1740</v>
      </c>
      <c r="N8" s="46">
        <f>J8</f>
        <v>142.01029159519729</v>
      </c>
      <c r="O8" s="231">
        <f>+F48</f>
        <v>17.489999999999998</v>
      </c>
      <c r="P8" s="47">
        <f>N8*O8</f>
        <v>2483.7600000000002</v>
      </c>
      <c r="Q8" s="36">
        <f>+M8-K8</f>
        <v>-32.690701496450174</v>
      </c>
    </row>
    <row r="9" spans="1:18" s="37" customFormat="1" x14ac:dyDescent="0.25">
      <c r="A9" s="444" t="s">
        <v>143</v>
      </c>
      <c r="B9" s="39">
        <v>2685.1816938025545</v>
      </c>
      <c r="C9" s="40">
        <f>M31</f>
        <v>0</v>
      </c>
      <c r="D9" s="41"/>
      <c r="E9" s="42"/>
      <c r="F9" s="43">
        <f>B9+C9+E9</f>
        <v>2685.1816938025545</v>
      </c>
      <c r="G9" s="44">
        <f>E49</f>
        <v>560.08285532186108</v>
      </c>
      <c r="H9" s="42"/>
      <c r="I9" s="42"/>
      <c r="J9" s="45">
        <f>E49</f>
        <v>560.08285532186108</v>
      </c>
      <c r="K9" s="39">
        <f>F9-J9-H9</f>
        <v>2125.0988384806933</v>
      </c>
      <c r="L9" s="32">
        <v>2630</v>
      </c>
      <c r="M9" s="32">
        <v>2080</v>
      </c>
      <c r="N9" s="46">
        <f>J9</f>
        <v>560.08285532186108</v>
      </c>
      <c r="O9" s="231">
        <f>+F49</f>
        <v>15.69</v>
      </c>
      <c r="P9" s="47">
        <f>N9*O9</f>
        <v>8787.7000000000007</v>
      </c>
      <c r="Q9" s="36">
        <f>+M9-K9</f>
        <v>-45.098838480693303</v>
      </c>
    </row>
    <row r="10" spans="1:18" s="37" customFormat="1" ht="15.75" thickBot="1" x14ac:dyDescent="0.3">
      <c r="A10" s="445" t="s">
        <v>33</v>
      </c>
      <c r="B10" s="48">
        <v>2488.7649024567218</v>
      </c>
      <c r="C10" s="49">
        <f>M33</f>
        <v>0</v>
      </c>
      <c r="D10" s="50"/>
      <c r="E10" s="51"/>
      <c r="F10" s="52">
        <f>B10+C10+E10</f>
        <v>2488.7649024567218</v>
      </c>
      <c r="G10" s="53">
        <f>E51</f>
        <v>115.35214881334188</v>
      </c>
      <c r="H10" s="51"/>
      <c r="I10" s="51"/>
      <c r="J10" s="54">
        <f>E51</f>
        <v>115.35214881334188</v>
      </c>
      <c r="K10" s="48">
        <f>F10-J10-H10</f>
        <v>2373.4127536433798</v>
      </c>
      <c r="L10" s="32">
        <v>2500</v>
      </c>
      <c r="M10" s="32">
        <v>2380</v>
      </c>
      <c r="N10" s="55">
        <f>J10</f>
        <v>115.35214881334188</v>
      </c>
      <c r="O10" s="231">
        <f>+F51</f>
        <v>15.59</v>
      </c>
      <c r="P10" s="56">
        <f>N10*O10</f>
        <v>1798.34</v>
      </c>
      <c r="Q10" s="36">
        <f>+M10-K10</f>
        <v>6.5872463566201986</v>
      </c>
    </row>
    <row r="11" spans="1:18" s="37" customFormat="1" ht="15.75" thickBot="1" x14ac:dyDescent="0.3">
      <c r="A11" s="57" t="s">
        <v>34</v>
      </c>
      <c r="B11" s="58">
        <v>8962.36</v>
      </c>
      <c r="C11" s="59">
        <f>SUM(C7:C10)</f>
        <v>1922.2194699033937</v>
      </c>
      <c r="D11" s="60"/>
      <c r="E11" s="61"/>
      <c r="F11" s="62">
        <f>SUM(F7:F10)</f>
        <v>10884.576349884674</v>
      </c>
      <c r="G11" s="63">
        <f>SUM(G7:G10)</f>
        <v>1374.2736442349517</v>
      </c>
      <c r="H11" s="58"/>
      <c r="I11" s="58"/>
      <c r="J11" s="64">
        <f>SUM(J7:J10)</f>
        <v>1374.2736442349517</v>
      </c>
      <c r="K11" s="58">
        <f>SUM(K7:K10)</f>
        <v>9510.3027056497231</v>
      </c>
      <c r="L11" s="65" t="e">
        <f>L7+L8+L9+#REF!+L10</f>
        <v>#REF!</v>
      </c>
      <c r="M11" s="65" t="e">
        <f>M7+M8+M9+#REF!+M10</f>
        <v>#REF!</v>
      </c>
      <c r="N11" s="66">
        <f>SUM(N7:N10)</f>
        <v>1374.2736442349517</v>
      </c>
      <c r="O11" s="67"/>
      <c r="P11" s="68">
        <f>SUM(P7:P10)</f>
        <v>17351.810000000001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1374.2736442349517</v>
      </c>
      <c r="P13" s="83">
        <f>+P11</f>
        <v>17351.810000000001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2751.61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966.11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132</v>
      </c>
      <c r="N25" s="121"/>
      <c r="O25" s="271"/>
      <c r="P25" s="250">
        <v>0</v>
      </c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13634.09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83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79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>
        <v>3880</v>
      </c>
      <c r="N34" s="141" t="s">
        <v>137</v>
      </c>
      <c r="O34" s="147"/>
      <c r="P34" s="152" t="s">
        <v>86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3315.9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10318.1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1139.43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1612.18</v>
      </c>
      <c r="F42" s="327">
        <v>966.11</v>
      </c>
      <c r="G42" s="322"/>
      <c r="H42" s="240"/>
      <c r="I42" s="426"/>
      <c r="J42" s="259" t="s">
        <v>34</v>
      </c>
      <c r="K42" s="328">
        <f>SUM(K39:K41)-K41</f>
        <v>13634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2751.61</v>
      </c>
      <c r="F43" s="327">
        <f>SUM(F41:F42)</f>
        <v>966.11</v>
      </c>
      <c r="G43" s="322">
        <f>SUM(E43:F43)</f>
        <v>3717.7200000000003</v>
      </c>
      <c r="H43" s="240"/>
      <c r="I43" s="426"/>
      <c r="J43" s="229" t="s">
        <v>106</v>
      </c>
      <c r="K43" s="294">
        <f>P27-K42</f>
        <v>9.0000000000145519E-2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556.8283485045514</v>
      </c>
      <c r="F47" s="231">
        <v>7.69</v>
      </c>
      <c r="G47" s="349">
        <v>4282.01</v>
      </c>
      <c r="M47" s="37"/>
    </row>
    <row r="48" spans="1:16" x14ac:dyDescent="0.25">
      <c r="D48" s="350" t="s">
        <v>110</v>
      </c>
      <c r="E48" s="351">
        <f>+G48/F48</f>
        <v>142.01029159519729</v>
      </c>
      <c r="F48" s="218">
        <v>17.489999999999998</v>
      </c>
      <c r="G48" s="352">
        <v>2483.7600000000002</v>
      </c>
      <c r="M48" s="37"/>
    </row>
    <row r="49" spans="4:14" x14ac:dyDescent="0.25">
      <c r="D49" s="350" t="s">
        <v>111</v>
      </c>
      <c r="E49" s="351">
        <f>+G49/F49</f>
        <v>560.08285532186108</v>
      </c>
      <c r="F49" s="218">
        <v>15.69</v>
      </c>
      <c r="G49" s="352">
        <v>8787.7000000000007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115.35214881334188</v>
      </c>
      <c r="F51" s="222">
        <v>15.59</v>
      </c>
      <c r="G51" s="355">
        <v>1798.34</v>
      </c>
      <c r="M51" s="37"/>
      <c r="N51" s="37"/>
    </row>
    <row r="52" spans="4:14" ht="15.75" thickBot="1" x14ac:dyDescent="0.3">
      <c r="D52" s="356"/>
      <c r="E52" s="357">
        <f>SUM(E47:E51)</f>
        <v>1374.2736442349517</v>
      </c>
      <c r="F52" s="358"/>
      <c r="G52" s="359">
        <f>G47+G48+G49+G51</f>
        <v>17351.810000000001</v>
      </c>
      <c r="K52" s="360">
        <f>G52-E43-F43-K42</f>
        <v>9.0000000000145519E-2</v>
      </c>
      <c r="M52" s="37"/>
    </row>
  </sheetData>
  <mergeCells count="53"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35:B35"/>
    <mergeCell ref="A36:B36"/>
    <mergeCell ref="A37:D37"/>
    <mergeCell ref="A38:D38"/>
    <mergeCell ref="J38:L38"/>
    <mergeCell ref="A44:C44"/>
    <mergeCell ref="M39:N39"/>
    <mergeCell ref="O39:P39"/>
    <mergeCell ref="A40:D40"/>
    <mergeCell ref="A41:D41"/>
    <mergeCell ref="A42:D42"/>
    <mergeCell ref="A43:D43"/>
    <mergeCell ref="A39:D39"/>
  </mergeCells>
  <conditionalFormatting sqref="Q7:Q11">
    <cfRule type="cellIs" dxfId="11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5DE03DD-E9BA-4F78-8FD9-B65098E73B5D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7" zoomScaleNormal="87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7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45743</v>
      </c>
      <c r="P2" s="10" t="s">
        <v>136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452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40" t="s">
        <v>28</v>
      </c>
      <c r="B7" s="24">
        <v>3239.1004120291991</v>
      </c>
      <c r="C7" s="25">
        <f>M34/2.0185</f>
        <v>0</v>
      </c>
      <c r="D7" s="26"/>
      <c r="E7" s="27"/>
      <c r="F7" s="28">
        <f>B7+C7+E7</f>
        <v>3239.1004120291991</v>
      </c>
      <c r="G7" s="29">
        <f>E47</f>
        <v>597.72951885565669</v>
      </c>
      <c r="H7" s="30"/>
      <c r="I7" s="30"/>
      <c r="J7" s="31">
        <f>E47</f>
        <v>597.72951885565669</v>
      </c>
      <c r="K7" s="24">
        <f>F7-J7-H7</f>
        <v>2641.3708931735423</v>
      </c>
      <c r="L7" s="32">
        <v>3500</v>
      </c>
      <c r="M7" s="32">
        <v>2900</v>
      </c>
      <c r="N7" s="33">
        <f>J7</f>
        <v>597.72951885565669</v>
      </c>
      <c r="O7" s="231">
        <f>+F47</f>
        <v>7.69</v>
      </c>
      <c r="P7" s="35">
        <f>N7*O7</f>
        <v>4596.54</v>
      </c>
      <c r="Q7" s="36">
        <f>+M7-K7</f>
        <v>258.6291068264577</v>
      </c>
      <c r="R7" s="37" t="s">
        <v>29</v>
      </c>
    </row>
    <row r="8" spans="1:18" s="37" customFormat="1" ht="33.75" x14ac:dyDescent="0.25">
      <c r="A8" s="440" t="s">
        <v>142</v>
      </c>
      <c r="B8" s="39">
        <v>1772.6907014964502</v>
      </c>
      <c r="C8" s="40">
        <f>M30</f>
        <v>0</v>
      </c>
      <c r="D8" s="41"/>
      <c r="E8" s="42"/>
      <c r="F8" s="43">
        <f>B8+C8+E8</f>
        <v>1772.6907014964502</v>
      </c>
      <c r="G8" s="44">
        <f>E48</f>
        <v>131.05431675242997</v>
      </c>
      <c r="H8" s="42"/>
      <c r="I8" s="42"/>
      <c r="J8" s="45">
        <f>E48</f>
        <v>131.05431675242997</v>
      </c>
      <c r="K8" s="39">
        <f>F8-J8-H8</f>
        <v>1641.6363847440202</v>
      </c>
      <c r="L8" s="32">
        <v>1740</v>
      </c>
      <c r="M8" s="32">
        <v>1600</v>
      </c>
      <c r="N8" s="46">
        <f>J8</f>
        <v>131.05431675242997</v>
      </c>
      <c r="O8" s="231">
        <f>+F48</f>
        <v>17.489999999999998</v>
      </c>
      <c r="P8" s="47">
        <f>N8*O8</f>
        <v>2292.14</v>
      </c>
      <c r="Q8" s="36">
        <f>+M8-K8</f>
        <v>-41.636384744020233</v>
      </c>
    </row>
    <row r="9" spans="1:18" s="37" customFormat="1" x14ac:dyDescent="0.25">
      <c r="A9" s="441" t="s">
        <v>143</v>
      </c>
      <c r="B9" s="39">
        <v>2125.0988384806933</v>
      </c>
      <c r="C9" s="40">
        <f>M31</f>
        <v>980</v>
      </c>
      <c r="D9" s="41"/>
      <c r="E9" s="42"/>
      <c r="F9" s="43">
        <f>B9+C9+E9</f>
        <v>3105.0988384806933</v>
      </c>
      <c r="G9" s="44">
        <f>E49</f>
        <v>613.57998725302741</v>
      </c>
      <c r="H9" s="42"/>
      <c r="I9" s="42"/>
      <c r="J9" s="45">
        <f>E49</f>
        <v>613.57998725302741</v>
      </c>
      <c r="K9" s="39">
        <f>F9-J9-H9</f>
        <v>2491.5188512276659</v>
      </c>
      <c r="L9" s="32">
        <v>2080</v>
      </c>
      <c r="M9" s="32">
        <v>2440</v>
      </c>
      <c r="N9" s="46">
        <f>J9</f>
        <v>613.57998725302741</v>
      </c>
      <c r="O9" s="231">
        <f>+F49</f>
        <v>15.69</v>
      </c>
      <c r="P9" s="47">
        <f>N9*O9</f>
        <v>9627.07</v>
      </c>
      <c r="Q9" s="36">
        <f>+M9-K9</f>
        <v>-51.518851227665891</v>
      </c>
    </row>
    <row r="10" spans="1:18" s="37" customFormat="1" ht="15.75" thickBot="1" x14ac:dyDescent="0.3">
      <c r="A10" s="442" t="s">
        <v>33</v>
      </c>
      <c r="B10" s="48">
        <v>2373.4127536433798</v>
      </c>
      <c r="C10" s="49">
        <f>M33</f>
        <v>0</v>
      </c>
      <c r="D10" s="50"/>
      <c r="E10" s="51"/>
      <c r="F10" s="52">
        <f>B10+C10+E10</f>
        <v>2373.4127536433798</v>
      </c>
      <c r="G10" s="53">
        <f>E51</f>
        <v>110.37524053880693</v>
      </c>
      <c r="H10" s="51"/>
      <c r="I10" s="51"/>
      <c r="J10" s="54">
        <f>E51</f>
        <v>110.37524053880693</v>
      </c>
      <c r="K10" s="48">
        <f>F10-J10-H10</f>
        <v>2263.037513104573</v>
      </c>
      <c r="L10" s="32">
        <v>2380</v>
      </c>
      <c r="M10" s="32">
        <v>2270</v>
      </c>
      <c r="N10" s="55">
        <f>J10</f>
        <v>110.37524053880693</v>
      </c>
      <c r="O10" s="231">
        <f>+F51</f>
        <v>15.59</v>
      </c>
      <c r="P10" s="56">
        <f>N10*O10</f>
        <v>1720.75</v>
      </c>
      <c r="Q10" s="36">
        <f>+M10-K10</f>
        <v>6.9624868954269914</v>
      </c>
    </row>
    <row r="11" spans="1:18" s="37" customFormat="1" ht="15.75" thickBot="1" x14ac:dyDescent="0.3">
      <c r="A11" s="57" t="s">
        <v>34</v>
      </c>
      <c r="B11" s="58">
        <v>9510.2999999999993</v>
      </c>
      <c r="C11" s="59">
        <f>SUM(C7:C10)</f>
        <v>980</v>
      </c>
      <c r="D11" s="60"/>
      <c r="E11" s="61"/>
      <c r="F11" s="62">
        <f>SUM(F7:F10)</f>
        <v>10490.302705649723</v>
      </c>
      <c r="G11" s="63">
        <f>SUM(G7:G10)</f>
        <v>1452.739063399921</v>
      </c>
      <c r="H11" s="58"/>
      <c r="I11" s="58"/>
      <c r="J11" s="64">
        <f>SUM(J7:J10)</f>
        <v>1452.739063399921</v>
      </c>
      <c r="K11" s="58">
        <f>SUM(K7:K10)</f>
        <v>9037.563642249801</v>
      </c>
      <c r="L11" s="65" t="e">
        <f>L7+L8+L9+#REF!+L10</f>
        <v>#REF!</v>
      </c>
      <c r="M11" s="65" t="e">
        <f>M7+M8+M9+#REF!+M10</f>
        <v>#REF!</v>
      </c>
      <c r="N11" s="66">
        <f>SUM(N7:N10)</f>
        <v>1452.739063399921</v>
      </c>
      <c r="O11" s="67"/>
      <c r="P11" s="68">
        <f>SUM(P7:P10)</f>
        <v>18236.5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1452.739063399921</v>
      </c>
      <c r="P13" s="83">
        <f>+P11</f>
        <v>18236.5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1808.68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1395.34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132</v>
      </c>
      <c r="N25" s="121"/>
      <c r="O25" s="271"/>
      <c r="P25" s="250">
        <v>0</v>
      </c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15032.48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>
        <v>980</v>
      </c>
      <c r="N31" s="141" t="s">
        <v>138</v>
      </c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83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79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86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3201.2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11831.1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1101.44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707.24</v>
      </c>
      <c r="F42" s="327">
        <v>1395.34</v>
      </c>
      <c r="G42" s="322"/>
      <c r="H42" s="240"/>
      <c r="I42" s="426"/>
      <c r="J42" s="259" t="s">
        <v>34</v>
      </c>
      <c r="K42" s="328">
        <f>SUM(K39:K41)-K41</f>
        <v>15032.3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1808.68</v>
      </c>
      <c r="F43" s="327">
        <f>SUM(F41:F42)</f>
        <v>1395.34</v>
      </c>
      <c r="G43" s="322">
        <f>SUM(E43:F43)</f>
        <v>3204.02</v>
      </c>
      <c r="H43" s="240"/>
      <c r="I43" s="426"/>
      <c r="J43" s="229" t="s">
        <v>106</v>
      </c>
      <c r="K43" s="294">
        <f>P27-K42</f>
        <v>0.18000000000029104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597.72951885565669</v>
      </c>
      <c r="F47" s="231">
        <v>7.69</v>
      </c>
      <c r="G47" s="349">
        <v>4596.54</v>
      </c>
      <c r="M47" s="37"/>
    </row>
    <row r="48" spans="1:16" x14ac:dyDescent="0.25">
      <c r="D48" s="350" t="s">
        <v>110</v>
      </c>
      <c r="E48" s="351">
        <f>+G48/F48</f>
        <v>131.05431675242997</v>
      </c>
      <c r="F48" s="218">
        <v>17.489999999999998</v>
      </c>
      <c r="G48" s="352">
        <v>2292.14</v>
      </c>
      <c r="M48" s="37"/>
    </row>
    <row r="49" spans="4:14" x14ac:dyDescent="0.25">
      <c r="D49" s="350" t="s">
        <v>111</v>
      </c>
      <c r="E49" s="351">
        <f>+G49/F49</f>
        <v>613.57998725302741</v>
      </c>
      <c r="F49" s="218">
        <v>15.69</v>
      </c>
      <c r="G49" s="352">
        <v>9627.07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110.37524053880693</v>
      </c>
      <c r="F51" s="222">
        <v>15.59</v>
      </c>
      <c r="G51" s="355">
        <v>1720.75</v>
      </c>
      <c r="M51" s="37"/>
      <c r="N51" s="37"/>
    </row>
    <row r="52" spans="4:14" ht="15.75" thickBot="1" x14ac:dyDescent="0.3">
      <c r="D52" s="356"/>
      <c r="E52" s="357">
        <f>SUM(E47:E51)</f>
        <v>1452.739063399921</v>
      </c>
      <c r="F52" s="358"/>
      <c r="G52" s="359">
        <f>G47+G48+G49+G51</f>
        <v>18236.5</v>
      </c>
      <c r="K52" s="360">
        <f>G52-E43-F43-K42</f>
        <v>0.18000000000029104</v>
      </c>
      <c r="M52" s="37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9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691B831-A909-4C7D-BBD6-AC71450C52B7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7" zoomScaleNormal="87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7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45744</v>
      </c>
      <c r="P2" s="10" t="s">
        <v>136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453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37" t="s">
        <v>28</v>
      </c>
      <c r="B7" s="24">
        <v>2641.3708931735423</v>
      </c>
      <c r="C7" s="25">
        <f>M34/2.0185</f>
        <v>2670.2997275204361</v>
      </c>
      <c r="D7" s="26"/>
      <c r="E7" s="27"/>
      <c r="F7" s="28">
        <f>B7+C7+E7</f>
        <v>5311.670620693978</v>
      </c>
      <c r="G7" s="29">
        <f>E47</f>
        <v>579.58907672301689</v>
      </c>
      <c r="H7" s="30"/>
      <c r="I7" s="30"/>
      <c r="J7" s="31">
        <f>E47</f>
        <v>579.58907672301689</v>
      </c>
      <c r="K7" s="24">
        <f>F7-J7-H7</f>
        <v>4732.0815439709613</v>
      </c>
      <c r="L7" s="32">
        <v>2900</v>
      </c>
      <c r="M7" s="32">
        <v>4950</v>
      </c>
      <c r="N7" s="33">
        <f>J7</f>
        <v>579.58907672301689</v>
      </c>
      <c r="O7" s="231">
        <f>+F47</f>
        <v>7.69</v>
      </c>
      <c r="P7" s="35">
        <f>N7*O7</f>
        <v>4457.04</v>
      </c>
      <c r="Q7" s="36">
        <f>+M7-K7</f>
        <v>217.91845602903868</v>
      </c>
      <c r="R7" s="37" t="s">
        <v>29</v>
      </c>
    </row>
    <row r="8" spans="1:18" s="37" customFormat="1" ht="33.75" x14ac:dyDescent="0.25">
      <c r="A8" s="437" t="s">
        <v>142</v>
      </c>
      <c r="B8" s="39">
        <v>1641.6363847440202</v>
      </c>
      <c r="C8" s="40">
        <f>M30</f>
        <v>0</v>
      </c>
      <c r="D8" s="41"/>
      <c r="E8" s="42"/>
      <c r="F8" s="43">
        <f>B8+C8+E8</f>
        <v>1641.6363847440202</v>
      </c>
      <c r="G8" s="44">
        <f>E48</f>
        <v>172.26472269868498</v>
      </c>
      <c r="H8" s="42"/>
      <c r="I8" s="42"/>
      <c r="J8" s="45">
        <f>E48</f>
        <v>172.26472269868498</v>
      </c>
      <c r="K8" s="39">
        <f>F8-J8-H8</f>
        <v>1469.3716620453351</v>
      </c>
      <c r="L8" s="32">
        <v>1600</v>
      </c>
      <c r="M8" s="32">
        <v>1430</v>
      </c>
      <c r="N8" s="46">
        <f>J8</f>
        <v>172.26472269868498</v>
      </c>
      <c r="O8" s="231">
        <f>+F48</f>
        <v>17.489999999999998</v>
      </c>
      <c r="P8" s="47">
        <f>N8*O8</f>
        <v>3012.91</v>
      </c>
      <c r="Q8" s="36">
        <f>+M8-K8</f>
        <v>-39.371662045335142</v>
      </c>
    </row>
    <row r="9" spans="1:18" s="37" customFormat="1" x14ac:dyDescent="0.25">
      <c r="A9" s="438" t="s">
        <v>143</v>
      </c>
      <c r="B9" s="39">
        <v>2491.5188512276659</v>
      </c>
      <c r="C9" s="40">
        <f>M31</f>
        <v>990</v>
      </c>
      <c r="D9" s="41"/>
      <c r="E9" s="42"/>
      <c r="F9" s="43">
        <f>B9+C9+E9</f>
        <v>3481.5188512276659</v>
      </c>
      <c r="G9" s="44">
        <f>E49</f>
        <v>579.57680050987892</v>
      </c>
      <c r="H9" s="42"/>
      <c r="I9" s="42"/>
      <c r="J9" s="45">
        <f>E49</f>
        <v>579.57680050987892</v>
      </c>
      <c r="K9" s="39">
        <f>F9-J9-H9</f>
        <v>2901.942050717787</v>
      </c>
      <c r="L9" s="32">
        <v>2440</v>
      </c>
      <c r="M9" s="32">
        <v>2860</v>
      </c>
      <c r="N9" s="46">
        <f>J9</f>
        <v>579.57680050987892</v>
      </c>
      <c r="O9" s="231">
        <f>+F49</f>
        <v>15.69</v>
      </c>
      <c r="P9" s="47">
        <f>N9*O9</f>
        <v>9093.56</v>
      </c>
      <c r="Q9" s="36">
        <f>+M9-K9</f>
        <v>-41.942050717786969</v>
      </c>
    </row>
    <row r="10" spans="1:18" s="37" customFormat="1" ht="15.75" thickBot="1" x14ac:dyDescent="0.3">
      <c r="A10" s="439" t="s">
        <v>33</v>
      </c>
      <c r="B10" s="48">
        <v>2263.037513104573</v>
      </c>
      <c r="C10" s="49">
        <f>M33</f>
        <v>0</v>
      </c>
      <c r="D10" s="50"/>
      <c r="E10" s="51"/>
      <c r="F10" s="52">
        <f>B10+C10+E10</f>
        <v>2263.037513104573</v>
      </c>
      <c r="G10" s="53">
        <f>E51</f>
        <v>159.42719692110327</v>
      </c>
      <c r="H10" s="51"/>
      <c r="I10" s="51"/>
      <c r="J10" s="54">
        <f>E51</f>
        <v>159.42719692110327</v>
      </c>
      <c r="K10" s="48">
        <f>F10-J10-H10</f>
        <v>2103.6103161834699</v>
      </c>
      <c r="L10" s="32">
        <v>2270</v>
      </c>
      <c r="M10" s="32">
        <v>2110</v>
      </c>
      <c r="N10" s="55">
        <f>J10</f>
        <v>159.42719692110327</v>
      </c>
      <c r="O10" s="231">
        <f>+F51</f>
        <v>15.59</v>
      </c>
      <c r="P10" s="56">
        <f>N10*O10</f>
        <v>2485.4699999999998</v>
      </c>
      <c r="Q10" s="36">
        <f>+M10-K10</f>
        <v>6.3896838165301233</v>
      </c>
    </row>
    <row r="11" spans="1:18" s="37" customFormat="1" ht="15.75" thickBot="1" x14ac:dyDescent="0.3">
      <c r="A11" s="57" t="s">
        <v>34</v>
      </c>
      <c r="B11" s="58">
        <v>9037.56</v>
      </c>
      <c r="C11" s="59">
        <f>SUM(C7:C10)</f>
        <v>3660.2997275204361</v>
      </c>
      <c r="D11" s="60"/>
      <c r="E11" s="61"/>
      <c r="F11" s="62">
        <f>SUM(F7:F10)</f>
        <v>12697.863369770237</v>
      </c>
      <c r="G11" s="63">
        <f>SUM(G7:G10)</f>
        <v>1490.857796852684</v>
      </c>
      <c r="H11" s="58"/>
      <c r="I11" s="58"/>
      <c r="J11" s="64">
        <f>SUM(J7:J10)</f>
        <v>1490.857796852684</v>
      </c>
      <c r="K11" s="58">
        <f>SUM(K7:K10)</f>
        <v>11207.005572917555</v>
      </c>
      <c r="L11" s="65" t="e">
        <f>L7+L8+L9+#REF!+L10</f>
        <v>#REF!</v>
      </c>
      <c r="M11" s="65" t="e">
        <f>M7+M8+M9+#REF!+M10</f>
        <v>#REF!</v>
      </c>
      <c r="N11" s="66">
        <f>SUM(N7:N10)</f>
        <v>1490.857796852684</v>
      </c>
      <c r="O11" s="67"/>
      <c r="P11" s="68">
        <f>SUM(P7:P10)</f>
        <v>19048.98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1490.857796852684</v>
      </c>
      <c r="P13" s="83">
        <f>+P11</f>
        <v>19048.98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3727.5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1494.54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/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132</v>
      </c>
      <c r="N25" s="121"/>
      <c r="O25" s="271"/>
      <c r="P25" s="250">
        <v>0</v>
      </c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13826.939999999999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>
        <v>990</v>
      </c>
      <c r="N31" s="141" t="s">
        <v>138</v>
      </c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83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79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>
        <v>5390</v>
      </c>
      <c r="N34" s="141" t="s">
        <v>139</v>
      </c>
      <c r="O34" s="147"/>
      <c r="P34" s="152" t="s">
        <v>120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2962.5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10864.3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1857.2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1870.3</v>
      </c>
      <c r="F42" s="327">
        <v>1494.54</v>
      </c>
      <c r="G42" s="322"/>
      <c r="H42" s="240"/>
      <c r="I42" s="426"/>
      <c r="J42" s="259" t="s">
        <v>34</v>
      </c>
      <c r="K42" s="328">
        <f>SUM(K39:K41)-K41</f>
        <v>13826.8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3727.5</v>
      </c>
      <c r="F43" s="327">
        <f>SUM(F41:F42)</f>
        <v>1494.54</v>
      </c>
      <c r="G43" s="322">
        <f>SUM(E43:F43)</f>
        <v>5222.04</v>
      </c>
      <c r="H43" s="240"/>
      <c r="I43" s="426"/>
      <c r="J43" s="229" t="s">
        <v>106</v>
      </c>
      <c r="K43" s="294">
        <f>P27-K42</f>
        <v>0.13999999999941792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579.58907672301689</v>
      </c>
      <c r="F47" s="231">
        <v>7.69</v>
      </c>
      <c r="G47" s="349">
        <v>4457.04</v>
      </c>
      <c r="M47" s="37"/>
    </row>
    <row r="48" spans="1:16" x14ac:dyDescent="0.25">
      <c r="D48" s="350" t="s">
        <v>110</v>
      </c>
      <c r="E48" s="351">
        <f>+G48/F48</f>
        <v>172.26472269868498</v>
      </c>
      <c r="F48" s="218">
        <v>17.489999999999998</v>
      </c>
      <c r="G48" s="352">
        <v>3012.91</v>
      </c>
      <c r="M48" s="37"/>
    </row>
    <row r="49" spans="4:14" x14ac:dyDescent="0.25">
      <c r="D49" s="350" t="s">
        <v>111</v>
      </c>
      <c r="E49" s="351">
        <f>+G49/F49</f>
        <v>579.57680050987892</v>
      </c>
      <c r="F49" s="218">
        <v>15.69</v>
      </c>
      <c r="G49" s="352">
        <v>9093.56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159.42719692110327</v>
      </c>
      <c r="F51" s="222">
        <v>15.59</v>
      </c>
      <c r="G51" s="355">
        <v>2485.4699999999998</v>
      </c>
      <c r="M51" s="37"/>
      <c r="N51" s="37"/>
    </row>
    <row r="52" spans="4:14" ht="15.75" thickBot="1" x14ac:dyDescent="0.3">
      <c r="D52" s="356"/>
      <c r="E52" s="357">
        <f>SUM(E47:E51)</f>
        <v>1490.857796852684</v>
      </c>
      <c r="F52" s="358"/>
      <c r="G52" s="359">
        <f>G47+G48+G49+G51</f>
        <v>19048.98</v>
      </c>
      <c r="K52" s="360">
        <f>G52-E43-F43-K42</f>
        <v>0.13999999999941792</v>
      </c>
      <c r="M52" s="37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7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3886DF9-09C1-47F0-9D56-E7A4789EE1AB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7" zoomScaleNormal="87" workbookViewId="0">
      <selection activeCell="A7" sqref="A7:A10"/>
    </sheetView>
  </sheetViews>
  <sheetFormatPr baseColWidth="10" defaultColWidth="5.7109375" defaultRowHeight="15" x14ac:dyDescent="0.25"/>
  <cols>
    <col min="1" max="1" width="7.710937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7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45745</v>
      </c>
      <c r="P2" s="10" t="s">
        <v>136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454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34" t="s">
        <v>28</v>
      </c>
      <c r="B7" s="24">
        <v>4732.0815439709613</v>
      </c>
      <c r="C7" s="25">
        <f>M34/2.0185</f>
        <v>0</v>
      </c>
      <c r="D7" s="26"/>
      <c r="E7" s="27"/>
      <c r="F7" s="28">
        <f>B7+C7+E7</f>
        <v>4732.0815439709613</v>
      </c>
      <c r="G7" s="29">
        <f>E47</f>
        <v>674.15887850467288</v>
      </c>
      <c r="H7" s="30"/>
      <c r="I7" s="30"/>
      <c r="J7" s="31">
        <f>E47</f>
        <v>674.15887850467288</v>
      </c>
      <c r="K7" s="24">
        <f>F7-J7-H7</f>
        <v>4057.9226654662884</v>
      </c>
      <c r="L7" s="32">
        <v>4950</v>
      </c>
      <c r="M7" s="32">
        <v>4250</v>
      </c>
      <c r="N7" s="33">
        <f>J7</f>
        <v>674.15887850467288</v>
      </c>
      <c r="O7" s="231">
        <f>+F47</f>
        <v>7.49</v>
      </c>
      <c r="P7" s="35">
        <f>N7*O7</f>
        <v>5049.45</v>
      </c>
      <c r="Q7" s="36">
        <f>+M7-K7</f>
        <v>192.07733453371156</v>
      </c>
      <c r="R7" s="37" t="s">
        <v>29</v>
      </c>
    </row>
    <row r="8" spans="1:18" s="37" customFormat="1" ht="33.75" x14ac:dyDescent="0.25">
      <c r="A8" s="434" t="s">
        <v>142</v>
      </c>
      <c r="B8" s="39">
        <v>1469.3716620453351</v>
      </c>
      <c r="C8" s="40">
        <f>M30</f>
        <v>0</v>
      </c>
      <c r="D8" s="41"/>
      <c r="E8" s="42"/>
      <c r="F8" s="43">
        <f>B8+C8+E8</f>
        <v>1469.3716620453351</v>
      </c>
      <c r="G8" s="44">
        <f>E48</f>
        <v>191.22845575477157</v>
      </c>
      <c r="H8" s="42"/>
      <c r="I8" s="42"/>
      <c r="J8" s="45">
        <f>E48</f>
        <v>191.22845575477157</v>
      </c>
      <c r="K8" s="39">
        <f>F8-J8-H8</f>
        <v>1278.1432062905635</v>
      </c>
      <c r="L8" s="32">
        <v>1430</v>
      </c>
      <c r="M8" s="32">
        <v>1240</v>
      </c>
      <c r="N8" s="46">
        <f>J8</f>
        <v>191.22845575477157</v>
      </c>
      <c r="O8" s="231">
        <f>+F48</f>
        <v>17.29</v>
      </c>
      <c r="P8" s="47">
        <f>N8*O8</f>
        <v>3306.34</v>
      </c>
      <c r="Q8" s="36">
        <f>+M8-K8</f>
        <v>-38.143206290563512</v>
      </c>
    </row>
    <row r="9" spans="1:18" s="37" customFormat="1" x14ac:dyDescent="0.25">
      <c r="A9" s="435" t="s">
        <v>143</v>
      </c>
      <c r="B9" s="39">
        <v>2901.942050717787</v>
      </c>
      <c r="C9" s="40">
        <f>M31</f>
        <v>0</v>
      </c>
      <c r="D9" s="41"/>
      <c r="E9" s="42"/>
      <c r="F9" s="43">
        <f>B9+C9+E9</f>
        <v>2901.942050717787</v>
      </c>
      <c r="G9" s="44">
        <f>E49</f>
        <v>668.33634602969664</v>
      </c>
      <c r="H9" s="42"/>
      <c r="I9" s="42"/>
      <c r="J9" s="45">
        <f>E49</f>
        <v>668.33634602969664</v>
      </c>
      <c r="K9" s="39">
        <f>F9-J9-H9</f>
        <v>2233.6057046880906</v>
      </c>
      <c r="L9" s="32">
        <v>2860</v>
      </c>
      <c r="M9" s="32">
        <v>2185</v>
      </c>
      <c r="N9" s="46">
        <f>J9</f>
        <v>668.33634602969664</v>
      </c>
      <c r="O9" s="231">
        <f>+F49</f>
        <v>15.49</v>
      </c>
      <c r="P9" s="47">
        <f>N9*O9</f>
        <v>10352.530000000001</v>
      </c>
      <c r="Q9" s="36">
        <f>+M9-K9</f>
        <v>-48.605704688090555</v>
      </c>
    </row>
    <row r="10" spans="1:18" s="37" customFormat="1" ht="15.75" thickBot="1" x14ac:dyDescent="0.3">
      <c r="A10" s="436" t="s">
        <v>33</v>
      </c>
      <c r="B10" s="48">
        <v>2103.6103161834699</v>
      </c>
      <c r="C10" s="49">
        <f>M33</f>
        <v>0</v>
      </c>
      <c r="D10" s="50"/>
      <c r="E10" s="51"/>
      <c r="F10" s="52">
        <f>B10+C10+E10</f>
        <v>2103.6103161834699</v>
      </c>
      <c r="G10" s="53">
        <f>E51</f>
        <v>134.18966644865927</v>
      </c>
      <c r="H10" s="51"/>
      <c r="I10" s="51"/>
      <c r="J10" s="54">
        <f>E51</f>
        <v>134.18966644865927</v>
      </c>
      <c r="K10" s="48">
        <f>F10-J10-H10</f>
        <v>1969.4206497348107</v>
      </c>
      <c r="L10" s="32">
        <v>2110</v>
      </c>
      <c r="M10" s="32">
        <v>1980</v>
      </c>
      <c r="N10" s="55">
        <f>J10</f>
        <v>134.18966644865927</v>
      </c>
      <c r="O10" s="231">
        <f>+F51</f>
        <v>15.29</v>
      </c>
      <c r="P10" s="56">
        <f>N10*O10</f>
        <v>2051.7600000000002</v>
      </c>
      <c r="Q10" s="36">
        <f>+M10-K10</f>
        <v>10.579350265189305</v>
      </c>
    </row>
    <row r="11" spans="1:18" s="37" customFormat="1" ht="15.75" thickBot="1" x14ac:dyDescent="0.3">
      <c r="A11" s="57" t="s">
        <v>34</v>
      </c>
      <c r="B11" s="58">
        <v>11207.01</v>
      </c>
      <c r="C11" s="59">
        <f>SUM(C7:C10)</f>
        <v>0</v>
      </c>
      <c r="D11" s="60"/>
      <c r="E11" s="61"/>
      <c r="F11" s="62">
        <f>SUM(F7:F10)</f>
        <v>11207.005572917555</v>
      </c>
      <c r="G11" s="63">
        <f>SUM(G7:G10)</f>
        <v>1667.9133467378003</v>
      </c>
      <c r="H11" s="58"/>
      <c r="I11" s="58"/>
      <c r="J11" s="64">
        <f>SUM(J7:J10)</f>
        <v>1667.9133467378003</v>
      </c>
      <c r="K11" s="58">
        <f>SUM(K7:K10)</f>
        <v>9539.0922261797532</v>
      </c>
      <c r="L11" s="65" t="e">
        <f>L7+L8+L9+#REF!+L10</f>
        <v>#REF!</v>
      </c>
      <c r="M11" s="65" t="e">
        <f>M7+M8+M9+#REF!+M10</f>
        <v>#REF!</v>
      </c>
      <c r="N11" s="66">
        <f>SUM(N7:N10)</f>
        <v>1667.9133467378003</v>
      </c>
      <c r="O11" s="67"/>
      <c r="P11" s="68">
        <f>SUM(P7:P10)</f>
        <v>20760.080000000002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1667.9133467378003</v>
      </c>
      <c r="P13" s="83">
        <f>+P11</f>
        <v>20760.080000000002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1878.8300000000002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474.05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>
        <v>300</v>
      </c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>
        <v>215.6</v>
      </c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132</v>
      </c>
      <c r="N25" s="121"/>
      <c r="O25" s="271"/>
      <c r="P25" s="250">
        <v>0</v>
      </c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17891.600000000002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83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79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120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4575.3999999999996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13315.7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1601.13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277.7</v>
      </c>
      <c r="F42" s="327">
        <v>474.05</v>
      </c>
      <c r="G42" s="322"/>
      <c r="H42" s="240"/>
      <c r="I42" s="426"/>
      <c r="J42" s="259" t="s">
        <v>34</v>
      </c>
      <c r="K42" s="328">
        <f>SUM(K39:K41)-K41</f>
        <v>17891.099999999999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1878.8300000000002</v>
      </c>
      <c r="F43" s="327">
        <f>SUM(F41:F42)</f>
        <v>474.05</v>
      </c>
      <c r="G43" s="322">
        <f>SUM(E43:F43)</f>
        <v>2352.88</v>
      </c>
      <c r="H43" s="240"/>
      <c r="I43" s="426"/>
      <c r="J43" s="229" t="s">
        <v>106</v>
      </c>
      <c r="K43" s="294">
        <f>P27-K42</f>
        <v>0.50000000000363798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674.15887850467288</v>
      </c>
      <c r="F47" s="231">
        <v>7.49</v>
      </c>
      <c r="G47" s="349">
        <v>5049.45</v>
      </c>
      <c r="M47" s="37"/>
    </row>
    <row r="48" spans="1:16" x14ac:dyDescent="0.25">
      <c r="D48" s="350" t="s">
        <v>110</v>
      </c>
      <c r="E48" s="351">
        <f>+G48/F48</f>
        <v>191.22845575477157</v>
      </c>
      <c r="F48" s="218">
        <v>17.29</v>
      </c>
      <c r="G48" s="352">
        <v>3306.34</v>
      </c>
      <c r="M48" s="37"/>
    </row>
    <row r="49" spans="4:14" x14ac:dyDescent="0.25">
      <c r="D49" s="350" t="s">
        <v>111</v>
      </c>
      <c r="E49" s="351">
        <f>+G49/F49</f>
        <v>668.33634602969664</v>
      </c>
      <c r="F49" s="218">
        <v>15.49</v>
      </c>
      <c r="G49" s="352">
        <v>10352.530000000001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134.18966644865927</v>
      </c>
      <c r="F51" s="222">
        <v>15.29</v>
      </c>
      <c r="G51" s="355">
        <v>2051.7600000000002</v>
      </c>
      <c r="M51" s="37"/>
      <c r="N51" s="37"/>
    </row>
    <row r="52" spans="4:14" ht="15.75" thickBot="1" x14ac:dyDescent="0.3">
      <c r="D52" s="356"/>
      <c r="E52" s="357">
        <f>SUM(E47:E51)</f>
        <v>1667.9133467378003</v>
      </c>
      <c r="F52" s="358"/>
      <c r="G52" s="359">
        <f>G47+G48+G49+G51</f>
        <v>20760.080000000002</v>
      </c>
      <c r="K52" s="360">
        <f>G52-E43-F43-K42</f>
        <v>516.10000000000218</v>
      </c>
      <c r="M52" s="37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5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05DCE1C-E93F-4C6C-B6A7-8905AA1F1661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87" zoomScaleNormal="87" workbookViewId="0">
      <selection activeCell="A7" sqref="A7:A10"/>
    </sheetView>
  </sheetViews>
  <sheetFormatPr baseColWidth="10" defaultColWidth="5.7109375" defaultRowHeight="15" x14ac:dyDescent="0.25"/>
  <cols>
    <col min="1" max="1" width="10.28515625" style="229" customWidth="1"/>
    <col min="2" max="2" width="12.85546875" style="229" customWidth="1"/>
    <col min="3" max="3" width="11.28515625" style="229" customWidth="1"/>
    <col min="4" max="4" width="5.85546875" style="229" customWidth="1"/>
    <col min="5" max="5" width="17.42578125" style="229" customWidth="1"/>
    <col min="6" max="6" width="15.5703125" style="229" customWidth="1"/>
    <col min="7" max="7" width="14.85546875" style="229" customWidth="1"/>
    <col min="8" max="9" width="12.7109375" style="229" customWidth="1"/>
    <col min="10" max="10" width="15.7109375" style="229" customWidth="1"/>
    <col min="11" max="11" width="17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407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408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45746</v>
      </c>
      <c r="P2" s="10" t="s">
        <v>136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412"/>
      <c r="J3" s="12" t="s">
        <v>8</v>
      </c>
      <c r="K3" s="528"/>
      <c r="L3" s="529"/>
      <c r="M3" s="529"/>
      <c r="N3" s="13" t="s">
        <v>9</v>
      </c>
      <c r="O3" s="230">
        <f>+O2-Q2+1</f>
        <v>455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4"/>
      <c r="I4" s="413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4"/>
      <c r="I5" s="537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18"/>
      <c r="E6" s="19" t="s">
        <v>18</v>
      </c>
      <c r="F6" s="20" t="s">
        <v>19</v>
      </c>
      <c r="G6" s="19" t="s">
        <v>20</v>
      </c>
      <c r="H6" s="19" t="s">
        <v>21</v>
      </c>
      <c r="I6" s="19"/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31" t="s">
        <v>28</v>
      </c>
      <c r="B7" s="24">
        <v>4075.4560563246678</v>
      </c>
      <c r="C7" s="25">
        <f>M34/2.0185</f>
        <v>0</v>
      </c>
      <c r="D7" s="26"/>
      <c r="E7" s="27"/>
      <c r="F7" s="28">
        <f>B7+C7+E7</f>
        <v>4075.4560563246678</v>
      </c>
      <c r="G7" s="29">
        <f>E47</f>
        <v>559.22963951935913</v>
      </c>
      <c r="H7" s="30"/>
      <c r="I7" s="30"/>
      <c r="J7" s="31">
        <f>E47</f>
        <v>559.22963951935913</v>
      </c>
      <c r="K7" s="24">
        <f>F7-J7-H7</f>
        <v>3516.2264168053089</v>
      </c>
      <c r="L7" s="32">
        <v>4250</v>
      </c>
      <c r="M7" s="32">
        <v>3700</v>
      </c>
      <c r="N7" s="33">
        <f>J7</f>
        <v>559.22963951935913</v>
      </c>
      <c r="O7" s="231">
        <f>+F47</f>
        <v>7.49</v>
      </c>
      <c r="P7" s="35">
        <f>N7*O7</f>
        <v>4188.63</v>
      </c>
      <c r="Q7" s="36">
        <f>+M7-K7</f>
        <v>183.77358319469113</v>
      </c>
      <c r="R7" s="37" t="s">
        <v>29</v>
      </c>
    </row>
    <row r="8" spans="1:18" s="37" customFormat="1" ht="15.75" customHeight="1" x14ac:dyDescent="0.25">
      <c r="A8" s="431" t="s">
        <v>142</v>
      </c>
      <c r="B8" s="39">
        <v>1280.3299239092573</v>
      </c>
      <c r="C8" s="40">
        <f>M30</f>
        <v>0</v>
      </c>
      <c r="D8" s="41"/>
      <c r="E8" s="42"/>
      <c r="F8" s="43">
        <f>B8+C8+E8</f>
        <v>1280.3299239092573</v>
      </c>
      <c r="G8" s="44">
        <f>E48</f>
        <v>179.57547715442453</v>
      </c>
      <c r="H8" s="42"/>
      <c r="I8" s="42"/>
      <c r="J8" s="45">
        <f>E48</f>
        <v>179.57547715442453</v>
      </c>
      <c r="K8" s="39">
        <f>F8-J8-H8</f>
        <v>1100.7544467548328</v>
      </c>
      <c r="L8" s="32">
        <v>1240</v>
      </c>
      <c r="M8" s="32">
        <v>1060</v>
      </c>
      <c r="N8" s="46">
        <f>J8</f>
        <v>179.57547715442453</v>
      </c>
      <c r="O8" s="231">
        <f>+F48</f>
        <v>17.29</v>
      </c>
      <c r="P8" s="47">
        <f>N8*O8</f>
        <v>3104.86</v>
      </c>
      <c r="Q8" s="36">
        <f>+M8-K8</f>
        <v>-40.75444675483277</v>
      </c>
    </row>
    <row r="9" spans="1:18" s="37" customFormat="1" x14ac:dyDescent="0.25">
      <c r="A9" s="432" t="s">
        <v>143</v>
      </c>
      <c r="B9" s="39">
        <v>2242.1249697745111</v>
      </c>
      <c r="C9" s="40">
        <f>M31</f>
        <v>0</v>
      </c>
      <c r="D9" s="41"/>
      <c r="E9" s="42"/>
      <c r="F9" s="43">
        <f>B9+C9+E9</f>
        <v>2242.1249697745111</v>
      </c>
      <c r="G9" s="44">
        <f>E49</f>
        <v>561.56810845706912</v>
      </c>
      <c r="H9" s="42"/>
      <c r="I9" s="42"/>
      <c r="J9" s="45">
        <f>E49</f>
        <v>561.56810845706912</v>
      </c>
      <c r="K9" s="39">
        <f>F9-J9-H9</f>
        <v>1680.5568613174419</v>
      </c>
      <c r="L9" s="32">
        <v>2185</v>
      </c>
      <c r="M9" s="32">
        <v>1630</v>
      </c>
      <c r="N9" s="46">
        <f>J9</f>
        <v>561.56810845706912</v>
      </c>
      <c r="O9" s="231">
        <f>+F49</f>
        <v>15.49</v>
      </c>
      <c r="P9" s="47">
        <f>N9*O9</f>
        <v>8698.69</v>
      </c>
      <c r="Q9" s="36">
        <f>+M9-K9</f>
        <v>-50.556861317441872</v>
      </c>
    </row>
    <row r="10" spans="1:18" s="37" customFormat="1" ht="15.75" thickBot="1" x14ac:dyDescent="0.3">
      <c r="A10" s="433" t="s">
        <v>33</v>
      </c>
      <c r="B10" s="48">
        <v>1972.0028755163755</v>
      </c>
      <c r="C10" s="49">
        <f>M33</f>
        <v>0</v>
      </c>
      <c r="D10" s="50"/>
      <c r="E10" s="51"/>
      <c r="F10" s="52">
        <f>B10+C10+E10</f>
        <v>1972.0028755163755</v>
      </c>
      <c r="G10" s="53">
        <f>E51</f>
        <v>139.77697841726621</v>
      </c>
      <c r="H10" s="51"/>
      <c r="I10" s="51"/>
      <c r="J10" s="54">
        <f>E51</f>
        <v>139.77697841726621</v>
      </c>
      <c r="K10" s="48">
        <f>F10-J10-H10</f>
        <v>1832.2258970991093</v>
      </c>
      <c r="L10" s="32">
        <v>1980</v>
      </c>
      <c r="M10" s="32">
        <v>1840</v>
      </c>
      <c r="N10" s="55">
        <f>J10</f>
        <v>139.77697841726621</v>
      </c>
      <c r="O10" s="231">
        <f>+F51</f>
        <v>15.29</v>
      </c>
      <c r="P10" s="56">
        <f>N10*O10</f>
        <v>2137.19</v>
      </c>
      <c r="Q10" s="36">
        <f>+M10-K10</f>
        <v>7.774102900890739</v>
      </c>
    </row>
    <row r="11" spans="1:18" s="37" customFormat="1" ht="15.75" thickBot="1" x14ac:dyDescent="0.3">
      <c r="A11" s="57" t="s">
        <v>34</v>
      </c>
      <c r="B11" s="58">
        <v>9569.9138255248108</v>
      </c>
      <c r="C11" s="59">
        <f>SUM(C7:C10)</f>
        <v>0</v>
      </c>
      <c r="D11" s="60"/>
      <c r="E11" s="61"/>
      <c r="F11" s="62">
        <f>SUM(F7:F10)</f>
        <v>9569.9138255248108</v>
      </c>
      <c r="G11" s="63">
        <f>SUM(G7:G10)</f>
        <v>1440.1502035481192</v>
      </c>
      <c r="H11" s="58"/>
      <c r="I11" s="58"/>
      <c r="J11" s="64">
        <f>SUM(J7:J10)</f>
        <v>1440.1502035481192</v>
      </c>
      <c r="K11" s="58">
        <f>SUM(K7:K10)</f>
        <v>8129.7636219766937</v>
      </c>
      <c r="L11" s="65" t="e">
        <f>L7+L8+L9+#REF!+L10</f>
        <v>#REF!</v>
      </c>
      <c r="M11" s="65" t="e">
        <f>M7+M8+M9+#REF!+M10</f>
        <v>#REF!</v>
      </c>
      <c r="N11" s="66">
        <f>SUM(N7:N10)</f>
        <v>1440.1502035481192</v>
      </c>
      <c r="O11" s="67"/>
      <c r="P11" s="68">
        <f>SUM(P7:P10)</f>
        <v>18129.37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16" t="s">
        <v>41</v>
      </c>
      <c r="I12" s="392"/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238"/>
      <c r="I13" s="414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1440.1502035481192</v>
      </c>
      <c r="P13" s="83">
        <f>+P11</f>
        <v>18129.37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238"/>
      <c r="I14" s="414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238"/>
      <c r="I15" s="414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2271.5699999999997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238"/>
      <c r="I16" s="414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303.52999999999997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248"/>
      <c r="I17" s="415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248"/>
      <c r="I18" s="415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248"/>
      <c r="I19" s="416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248"/>
      <c r="I20" s="416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248"/>
      <c r="I21" s="415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248"/>
      <c r="I22" s="415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/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262"/>
      <c r="I23" s="417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>
        <v>152.9</v>
      </c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262"/>
      <c r="I24" s="418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262"/>
      <c r="I25" s="418"/>
      <c r="J25" s="253" t="s">
        <v>68</v>
      </c>
      <c r="K25" s="254"/>
      <c r="L25" s="270"/>
      <c r="M25" s="267" t="s">
        <v>132</v>
      </c>
      <c r="N25" s="121"/>
      <c r="O25" s="271"/>
      <c r="P25" s="250">
        <v>0</v>
      </c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262"/>
      <c r="I26" s="419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262"/>
      <c r="I27" s="417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15401.369999999999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278"/>
      <c r="I28" s="420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262"/>
      <c r="I29" s="417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62" t="s">
        <v>48</v>
      </c>
      <c r="I30" s="418"/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62"/>
      <c r="I31" s="419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62"/>
      <c r="I32" s="417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83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1"/>
      <c r="I33" s="421"/>
      <c r="J33" s="569"/>
      <c r="K33" s="569"/>
      <c r="L33" s="283" t="s">
        <v>82</v>
      </c>
      <c r="M33" s="138"/>
      <c r="N33" s="149"/>
      <c r="O33" s="141"/>
      <c r="P33" s="141" t="s">
        <v>79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1"/>
      <c r="I34" s="42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120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62"/>
      <c r="I35" s="418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62"/>
      <c r="I36" s="419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262"/>
      <c r="I37" s="417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240"/>
      <c r="I38" s="422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11"/>
      <c r="I39" s="423"/>
      <c r="J39" s="312" t="s">
        <v>28</v>
      </c>
      <c r="K39" s="263">
        <v>3885.1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11"/>
      <c r="I40" s="424"/>
      <c r="J40" s="315" t="s">
        <v>98</v>
      </c>
      <c r="K40" s="270">
        <v>11516.7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1796.57</v>
      </c>
      <c r="F41" s="321"/>
      <c r="G41" s="322"/>
      <c r="H41" s="240"/>
      <c r="I41" s="425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475</v>
      </c>
      <c r="F42" s="327">
        <v>303.52999999999997</v>
      </c>
      <c r="G42" s="322"/>
      <c r="H42" s="240"/>
      <c r="I42" s="426"/>
      <c r="J42" s="259" t="s">
        <v>34</v>
      </c>
      <c r="K42" s="328">
        <f>SUM(K39:K41)-K41</f>
        <v>15401.800000000001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2271.5699999999997</v>
      </c>
      <c r="F43" s="327">
        <f>SUM(F41:F42)</f>
        <v>303.52999999999997</v>
      </c>
      <c r="G43" s="322">
        <f>SUM(E43:F43)</f>
        <v>2575.0999999999995</v>
      </c>
      <c r="H43" s="240"/>
      <c r="I43" s="426"/>
      <c r="J43" s="229" t="s">
        <v>106</v>
      </c>
      <c r="K43" s="294">
        <f>P27-K42</f>
        <v>-0.43000000000211003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40"/>
      <c r="I44" s="427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</row>
    <row r="47" spans="1:16" ht="15.75" x14ac:dyDescent="0.25">
      <c r="D47" s="347" t="s">
        <v>28</v>
      </c>
      <c r="E47" s="348">
        <f>+G47/F47</f>
        <v>559.22963951935913</v>
      </c>
      <c r="F47" s="231">
        <v>7.49</v>
      </c>
      <c r="G47" s="349">
        <v>4188.63</v>
      </c>
      <c r="M47" s="37"/>
    </row>
    <row r="48" spans="1:16" x14ac:dyDescent="0.25">
      <c r="D48" s="350" t="s">
        <v>110</v>
      </c>
      <c r="E48" s="351">
        <f>+G48/F48</f>
        <v>179.57547715442453</v>
      </c>
      <c r="F48" s="218">
        <v>17.29</v>
      </c>
      <c r="G48" s="352">
        <v>3104.86</v>
      </c>
      <c r="M48" s="37"/>
    </row>
    <row r="49" spans="4:14" x14ac:dyDescent="0.25">
      <c r="D49" s="350" t="s">
        <v>111</v>
      </c>
      <c r="E49" s="351">
        <f>+G49/F49</f>
        <v>561.56810845706912</v>
      </c>
      <c r="F49" s="218">
        <v>15.49</v>
      </c>
      <c r="G49" s="352">
        <v>8698.69</v>
      </c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M50" s="37"/>
      <c r="N50" s="37"/>
    </row>
    <row r="51" spans="4:14" ht="15.75" thickBot="1" x14ac:dyDescent="0.3">
      <c r="D51" s="353" t="s">
        <v>33</v>
      </c>
      <c r="E51" s="354">
        <f>+G51/F51</f>
        <v>139.77697841726621</v>
      </c>
      <c r="F51" s="222">
        <v>15.29</v>
      </c>
      <c r="G51" s="355">
        <v>2137.19</v>
      </c>
      <c r="M51" s="37"/>
      <c r="N51" s="37"/>
    </row>
    <row r="52" spans="4:14" ht="15.75" thickBot="1" x14ac:dyDescent="0.3">
      <c r="D52" s="356"/>
      <c r="E52" s="357">
        <f>SUM(E47:E51)</f>
        <v>1440.1502035481192</v>
      </c>
      <c r="F52" s="358"/>
      <c r="G52" s="359">
        <f>G47+G48+G49+G51</f>
        <v>18129.37</v>
      </c>
      <c r="K52" s="360">
        <f>G52-E43-F43-K42</f>
        <v>152.46999999999753</v>
      </c>
      <c r="M52" s="37"/>
    </row>
  </sheetData>
  <mergeCells count="53">
    <mergeCell ref="A44:C44"/>
    <mergeCell ref="M39:N39"/>
    <mergeCell ref="O39:P39"/>
    <mergeCell ref="A40:D40"/>
    <mergeCell ref="A41:D41"/>
    <mergeCell ref="A42:D42"/>
    <mergeCell ref="A43:D43"/>
    <mergeCell ref="A39:D39"/>
    <mergeCell ref="A35:B35"/>
    <mergeCell ref="A36:B36"/>
    <mergeCell ref="A37:D37"/>
    <mergeCell ref="A38:D38"/>
    <mergeCell ref="J38:L38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M15:N15"/>
    <mergeCell ref="A1:H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</mergeCells>
  <conditionalFormatting sqref="Q7:Q11">
    <cfRule type="cellIs" dxfId="3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5A88927-325B-4D14-83A5-C456DB93F794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zoomScale="69" zoomScaleNormal="69" workbookViewId="0">
      <selection activeCell="A7" sqref="A7:A10"/>
    </sheetView>
  </sheetViews>
  <sheetFormatPr baseColWidth="10" defaultColWidth="5.7109375" defaultRowHeight="15" x14ac:dyDescent="0.25"/>
  <cols>
    <col min="1" max="1" width="13.28515625" style="229" customWidth="1"/>
    <col min="2" max="2" width="12.85546875" style="229" customWidth="1"/>
    <col min="3" max="3" width="11.28515625" style="229" customWidth="1"/>
    <col min="4" max="4" width="12.7109375" style="229" customWidth="1"/>
    <col min="5" max="5" width="17.42578125" style="229" customWidth="1"/>
    <col min="6" max="6" width="15.5703125" style="229" customWidth="1"/>
    <col min="7" max="8" width="14.85546875" style="229" customWidth="1"/>
    <col min="9" max="9" width="12.7109375" style="229" customWidth="1"/>
    <col min="10" max="10" width="15.7109375" style="229" customWidth="1"/>
    <col min="11" max="11" width="17" style="229" customWidth="1"/>
    <col min="12" max="12" width="15" style="229" customWidth="1"/>
    <col min="13" max="13" width="15.42578125" style="229" customWidth="1"/>
    <col min="14" max="14" width="18.28515625" style="229" customWidth="1"/>
    <col min="15" max="15" width="18.85546875" style="229" customWidth="1"/>
    <col min="16" max="16" width="17" style="229" customWidth="1"/>
    <col min="17" max="17" width="11.140625" style="229" customWidth="1"/>
    <col min="18" max="18" width="11.42578125" style="229" customWidth="1"/>
    <col min="19" max="16384" width="5.7109375" style="229"/>
  </cols>
  <sheetData>
    <row r="1" spans="1:18" ht="20.100000000000001" customHeight="1" x14ac:dyDescent="0.25">
      <c r="A1" s="520"/>
      <c r="B1" s="594"/>
      <c r="C1" s="594"/>
      <c r="D1" s="594"/>
      <c r="E1" s="594"/>
      <c r="F1" s="594"/>
      <c r="G1" s="594"/>
      <c r="H1" s="594"/>
      <c r="I1" s="594"/>
      <c r="J1" s="1" t="s">
        <v>0</v>
      </c>
      <c r="K1" s="525" t="s">
        <v>1</v>
      </c>
      <c r="L1" s="526"/>
      <c r="M1" s="526"/>
      <c r="N1" s="3" t="s">
        <v>2</v>
      </c>
      <c r="O1" s="2">
        <v>25</v>
      </c>
      <c r="P1" s="4"/>
    </row>
    <row r="2" spans="1:18" ht="20.100000000000001" customHeight="1" x14ac:dyDescent="0.25">
      <c r="A2" s="522"/>
      <c r="B2" s="595"/>
      <c r="C2" s="595"/>
      <c r="D2" s="595"/>
      <c r="E2" s="595"/>
      <c r="F2" s="595"/>
      <c r="G2" s="595"/>
      <c r="H2" s="595"/>
      <c r="I2" s="595"/>
      <c r="J2" s="6" t="s">
        <v>3</v>
      </c>
      <c r="K2" s="527" t="s">
        <v>4</v>
      </c>
      <c r="L2" s="528"/>
      <c r="M2" s="7" t="s">
        <v>5</v>
      </c>
      <c r="N2" s="8" t="s">
        <v>6</v>
      </c>
      <c r="O2" s="9">
        <v>45747</v>
      </c>
      <c r="P2" s="10" t="s">
        <v>136</v>
      </c>
      <c r="Q2" s="11">
        <v>45292</v>
      </c>
    </row>
    <row r="3" spans="1:18" ht="20.100000000000001" customHeight="1" thickBot="1" x14ac:dyDescent="0.3">
      <c r="A3" s="596"/>
      <c r="B3" s="595"/>
      <c r="C3" s="595"/>
      <c r="D3" s="595"/>
      <c r="E3" s="595"/>
      <c r="F3" s="595"/>
      <c r="G3" s="595"/>
      <c r="H3" s="595"/>
      <c r="I3" s="595"/>
      <c r="J3" s="12" t="s">
        <v>8</v>
      </c>
      <c r="K3" s="528"/>
      <c r="L3" s="529"/>
      <c r="M3" s="529"/>
      <c r="N3" s="13" t="s">
        <v>9</v>
      </c>
      <c r="O3" s="230">
        <f>+O2-Q2+1</f>
        <v>456</v>
      </c>
      <c r="P3" s="15"/>
    </row>
    <row r="4" spans="1:18" ht="20.100000000000001" customHeight="1" thickBot="1" x14ac:dyDescent="0.3">
      <c r="A4" s="361"/>
      <c r="B4" s="362"/>
      <c r="C4" s="363"/>
      <c r="D4" s="364"/>
      <c r="E4" s="364"/>
      <c r="F4" s="365"/>
      <c r="G4" s="363"/>
      <c r="H4" s="363"/>
      <c r="I4" s="364"/>
      <c r="J4" s="366"/>
      <c r="K4" s="367"/>
      <c r="L4" s="368"/>
      <c r="M4" s="369"/>
      <c r="N4" s="368"/>
      <c r="O4" s="370"/>
      <c r="P4" s="371"/>
    </row>
    <row r="5" spans="1:18" ht="15" customHeight="1" thickBot="1" x14ac:dyDescent="0.3">
      <c r="A5" s="530" t="s">
        <v>10</v>
      </c>
      <c r="B5" s="530" t="s">
        <v>11</v>
      </c>
      <c r="C5" s="533" t="s">
        <v>12</v>
      </c>
      <c r="D5" s="534"/>
      <c r="E5" s="534"/>
      <c r="F5" s="535"/>
      <c r="G5" s="536" t="s">
        <v>13</v>
      </c>
      <c r="H5" s="533"/>
      <c r="I5" s="534"/>
      <c r="J5" s="537"/>
      <c r="K5" s="530" t="s">
        <v>14</v>
      </c>
      <c r="L5" s="536" t="s">
        <v>15</v>
      </c>
      <c r="M5" s="535"/>
      <c r="N5" s="536" t="s">
        <v>16</v>
      </c>
      <c r="O5" s="534"/>
      <c r="P5" s="535"/>
    </row>
    <row r="6" spans="1:18" s="23" customFormat="1" ht="30.75" thickBot="1" x14ac:dyDescent="0.3">
      <c r="A6" s="597"/>
      <c r="B6" s="598"/>
      <c r="C6" s="17" t="s">
        <v>17</v>
      </c>
      <c r="D6" s="381" t="s">
        <v>141</v>
      </c>
      <c r="E6" s="19" t="s">
        <v>18</v>
      </c>
      <c r="F6" s="20" t="s">
        <v>19</v>
      </c>
      <c r="G6" s="19" t="s">
        <v>20</v>
      </c>
      <c r="H6" s="19"/>
      <c r="I6" s="19" t="s">
        <v>140</v>
      </c>
      <c r="J6" s="19" t="s">
        <v>22</v>
      </c>
      <c r="K6" s="597"/>
      <c r="L6" s="19" t="s">
        <v>23</v>
      </c>
      <c r="M6" s="21" t="s">
        <v>24</v>
      </c>
      <c r="N6" s="21" t="s">
        <v>25</v>
      </c>
      <c r="O6" s="19" t="s">
        <v>26</v>
      </c>
      <c r="P6" s="22" t="s">
        <v>27</v>
      </c>
    </row>
    <row r="7" spans="1:18" s="37" customFormat="1" x14ac:dyDescent="0.25">
      <c r="A7" s="428" t="s">
        <v>28</v>
      </c>
      <c r="B7" s="24">
        <v>3516.2264168053089</v>
      </c>
      <c r="C7" s="25">
        <f>M34/2.0185</f>
        <v>0</v>
      </c>
      <c r="D7" s="26"/>
      <c r="E7" s="27">
        <v>215.73</v>
      </c>
      <c r="F7" s="28">
        <f>B7+C7+E7</f>
        <v>3731.9564168053089</v>
      </c>
      <c r="G7" s="29">
        <f>E47</f>
        <v>381.95193591455273</v>
      </c>
      <c r="H7" s="29"/>
      <c r="I7" s="30"/>
      <c r="J7" s="31">
        <f>E47</f>
        <v>381.95193591455273</v>
      </c>
      <c r="K7" s="24">
        <f>F7-J7-I7</f>
        <v>3350.004480890756</v>
      </c>
      <c r="L7" s="32">
        <v>3700</v>
      </c>
      <c r="M7" s="32">
        <v>3350</v>
      </c>
      <c r="N7" s="33">
        <f>J7</f>
        <v>381.95193591455273</v>
      </c>
      <c r="O7" s="231">
        <f>+F47</f>
        <v>7.49</v>
      </c>
      <c r="P7" s="35">
        <f>N7*O7</f>
        <v>2860.82</v>
      </c>
      <c r="Q7" s="36">
        <f>+M7-K7</f>
        <v>-4.4808907559854561E-3</v>
      </c>
      <c r="R7" s="37" t="s">
        <v>29</v>
      </c>
    </row>
    <row r="8" spans="1:18" s="37" customFormat="1" ht="21" customHeight="1" x14ac:dyDescent="0.25">
      <c r="A8" s="428" t="s">
        <v>142</v>
      </c>
      <c r="B8" s="39">
        <v>1100.7544467548328</v>
      </c>
      <c r="C8" s="40">
        <f>M30</f>
        <v>0</v>
      </c>
      <c r="D8" s="41"/>
      <c r="E8" s="42"/>
      <c r="F8" s="43">
        <f>B8+C8+E8</f>
        <v>1100.7544467548328</v>
      </c>
      <c r="G8" s="44">
        <f>E48</f>
        <v>197.97362637362639</v>
      </c>
      <c r="H8" s="44"/>
      <c r="I8" s="42">
        <v>42.78</v>
      </c>
      <c r="J8" s="45">
        <f>E48</f>
        <v>197.97362637362639</v>
      </c>
      <c r="K8" s="39">
        <f>F8-J8-I8</f>
        <v>860.00082038120638</v>
      </c>
      <c r="L8" s="32">
        <v>1060</v>
      </c>
      <c r="M8" s="32">
        <v>860</v>
      </c>
      <c r="N8" s="46">
        <f>J8</f>
        <v>197.97362637362639</v>
      </c>
      <c r="O8" s="231">
        <f>+F48</f>
        <v>17.29</v>
      </c>
      <c r="P8" s="47">
        <f>N8*O8</f>
        <v>3422.9639999999999</v>
      </c>
      <c r="Q8" s="36">
        <f>+M8-K8</f>
        <v>-8.2038120638117107E-4</v>
      </c>
    </row>
    <row r="9" spans="1:18" s="37" customFormat="1" x14ac:dyDescent="0.25">
      <c r="A9" s="429" t="s">
        <v>143</v>
      </c>
      <c r="B9" s="39">
        <v>1680.5568613174419</v>
      </c>
      <c r="C9" s="40">
        <f>M31</f>
        <v>0</v>
      </c>
      <c r="D9" s="41"/>
      <c r="E9" s="42"/>
      <c r="F9" s="43">
        <f>B9+C9+E9</f>
        <v>1680.5568613174419</v>
      </c>
      <c r="G9" s="44">
        <f>E49</f>
        <v>504.89025177533892</v>
      </c>
      <c r="H9" s="44"/>
      <c r="I9" s="42">
        <v>55.67</v>
      </c>
      <c r="J9" s="45">
        <f>E49</f>
        <v>504.89025177533892</v>
      </c>
      <c r="K9" s="39">
        <f>F9-J9-I9</f>
        <v>1119.9966095421028</v>
      </c>
      <c r="L9" s="32">
        <v>1630</v>
      </c>
      <c r="M9" s="32">
        <v>1120</v>
      </c>
      <c r="N9" s="46">
        <f>J9</f>
        <v>504.89025177533892</v>
      </c>
      <c r="O9" s="231">
        <f>+F49</f>
        <v>15.49</v>
      </c>
      <c r="P9" s="47">
        <f>N9*O9</f>
        <v>7820.75</v>
      </c>
      <c r="Q9" s="36">
        <f>+M9-K9</f>
        <v>3.3904578972396848E-3</v>
      </c>
    </row>
    <row r="10" spans="1:18" s="37" customFormat="1" ht="15.75" thickBot="1" x14ac:dyDescent="0.3">
      <c r="A10" s="430" t="s">
        <v>33</v>
      </c>
      <c r="B10" s="48">
        <v>1832.2258970991093</v>
      </c>
      <c r="C10" s="49">
        <f>M33</f>
        <v>0</v>
      </c>
      <c r="D10" s="50"/>
      <c r="E10" s="51">
        <v>11.53</v>
      </c>
      <c r="F10" s="52">
        <f>B10+C10+E10</f>
        <v>1843.7558970991092</v>
      </c>
      <c r="G10" s="53">
        <f>E51</f>
        <v>113.75670372792675</v>
      </c>
      <c r="H10" s="53"/>
      <c r="I10" s="51"/>
      <c r="J10" s="54">
        <f>E51</f>
        <v>113.75670372792675</v>
      </c>
      <c r="K10" s="48">
        <f>F10-J10-I10</f>
        <v>1729.9991933711824</v>
      </c>
      <c r="L10" s="32">
        <v>1840</v>
      </c>
      <c r="M10" s="32">
        <v>1730</v>
      </c>
      <c r="N10" s="55">
        <f>J10</f>
        <v>113.75670372792675</v>
      </c>
      <c r="O10" s="231">
        <f>+F51</f>
        <v>15.29</v>
      </c>
      <c r="P10" s="56">
        <f>N10*O10</f>
        <v>1739.34</v>
      </c>
      <c r="Q10" s="36">
        <f>+M10-K10</f>
        <v>8.0662881759963057E-4</v>
      </c>
    </row>
    <row r="11" spans="1:18" s="37" customFormat="1" ht="15.75" thickBot="1" x14ac:dyDescent="0.3">
      <c r="A11" s="57" t="s">
        <v>34</v>
      </c>
      <c r="B11" s="58">
        <v>8129.76</v>
      </c>
      <c r="C11" s="59">
        <f>SUM(C7:C10)</f>
        <v>0</v>
      </c>
      <c r="D11" s="60"/>
      <c r="E11" s="61"/>
      <c r="F11" s="62">
        <f>SUM(F7:F10)</f>
        <v>8357.0236219766921</v>
      </c>
      <c r="G11" s="63">
        <f>SUM(G7:G10)</f>
        <v>1198.5725177914449</v>
      </c>
      <c r="H11" s="63"/>
      <c r="I11" s="58"/>
      <c r="J11" s="64">
        <f>SUM(J7:J10)</f>
        <v>1198.5725177914449</v>
      </c>
      <c r="K11" s="58">
        <f>SUM(K7:K10)</f>
        <v>7060.0011041852486</v>
      </c>
      <c r="L11" s="65" t="e">
        <f>L7+L8+L9+#REF!+L10</f>
        <v>#REF!</v>
      </c>
      <c r="M11" s="65" t="e">
        <f>M7+M8+M9+#REF!+M10</f>
        <v>#REF!</v>
      </c>
      <c r="N11" s="66">
        <f>SUM(N7:N10)</f>
        <v>1198.5725177914449</v>
      </c>
      <c r="O11" s="67"/>
      <c r="P11" s="68">
        <f>SUM(P7:P10)</f>
        <v>15843.874</v>
      </c>
    </row>
    <row r="12" spans="1:18" s="23" customFormat="1" ht="24" customHeight="1" thickBot="1" x14ac:dyDescent="0.3">
      <c r="A12" s="536" t="s">
        <v>35</v>
      </c>
      <c r="B12" s="537"/>
      <c r="C12" s="19" t="s">
        <v>36</v>
      </c>
      <c r="D12" s="19" t="s">
        <v>37</v>
      </c>
      <c r="E12" s="69" t="s">
        <v>38</v>
      </c>
      <c r="F12" s="21" t="s">
        <v>39</v>
      </c>
      <c r="G12" s="70" t="s">
        <v>40</v>
      </c>
      <c r="H12" s="70"/>
      <c r="I12" s="16" t="s">
        <v>41</v>
      </c>
      <c r="J12" s="69" t="s">
        <v>42</v>
      </c>
      <c r="K12" s="19" t="s">
        <v>43</v>
      </c>
      <c r="L12" s="22" t="s">
        <v>44</v>
      </c>
      <c r="M12" s="538">
        <v>2</v>
      </c>
      <c r="N12" s="539"/>
      <c r="O12" s="21" t="s">
        <v>45</v>
      </c>
      <c r="P12" s="71" t="s">
        <v>46</v>
      </c>
    </row>
    <row r="13" spans="1:18" ht="15" customHeight="1" x14ac:dyDescent="0.25">
      <c r="A13" s="232"/>
      <c r="B13" s="233"/>
      <c r="C13" s="234"/>
      <c r="D13" s="235"/>
      <c r="E13" s="236"/>
      <c r="F13" s="39"/>
      <c r="G13" s="237"/>
      <c r="H13" s="372"/>
      <c r="I13" s="238"/>
      <c r="J13" s="80" t="s">
        <v>47</v>
      </c>
      <c r="K13" s="81"/>
      <c r="L13" s="81" t="s">
        <v>48</v>
      </c>
      <c r="M13" s="540" t="s">
        <v>49</v>
      </c>
      <c r="N13" s="541"/>
      <c r="O13" s="82">
        <f>+N11</f>
        <v>1198.5725177914449</v>
      </c>
      <c r="P13" s="83">
        <f>+P11</f>
        <v>15843.874</v>
      </c>
    </row>
    <row r="14" spans="1:18" ht="15" customHeight="1" x14ac:dyDescent="0.25">
      <c r="A14" s="232"/>
      <c r="B14" s="233"/>
      <c r="C14" s="239"/>
      <c r="D14" s="240"/>
      <c r="E14" s="241"/>
      <c r="F14" s="39"/>
      <c r="G14" s="237"/>
      <c r="H14" s="372"/>
      <c r="I14" s="238"/>
      <c r="J14" s="87" t="s">
        <v>50</v>
      </c>
      <c r="K14" s="242"/>
      <c r="L14" s="239"/>
      <c r="M14" s="518" t="s">
        <v>51</v>
      </c>
      <c r="N14" s="519"/>
      <c r="O14" s="243">
        <v>0</v>
      </c>
      <c r="P14" s="90"/>
    </row>
    <row r="15" spans="1:18" ht="15" customHeight="1" thickBot="1" x14ac:dyDescent="0.3">
      <c r="A15" s="232"/>
      <c r="B15" s="233"/>
      <c r="C15" s="239"/>
      <c r="D15" s="240"/>
      <c r="E15" s="241"/>
      <c r="F15" s="39"/>
      <c r="G15" s="237"/>
      <c r="H15" s="372"/>
      <c r="I15" s="238"/>
      <c r="J15" s="91"/>
      <c r="K15" s="242"/>
      <c r="L15" s="244"/>
      <c r="M15" s="518" t="s">
        <v>52</v>
      </c>
      <c r="N15" s="519"/>
      <c r="O15" s="243">
        <v>0</v>
      </c>
      <c r="P15" s="90">
        <f>E43</f>
        <v>2431.17</v>
      </c>
    </row>
    <row r="16" spans="1:18" ht="15" customHeight="1" x14ac:dyDescent="0.25">
      <c r="A16" s="232"/>
      <c r="B16" s="233"/>
      <c r="C16" s="239"/>
      <c r="D16" s="240"/>
      <c r="E16" s="241"/>
      <c r="F16" s="39"/>
      <c r="G16" s="237"/>
      <c r="H16" s="372"/>
      <c r="I16" s="238"/>
      <c r="J16" s="525" t="s">
        <v>51</v>
      </c>
      <c r="K16" s="544"/>
      <c r="L16" s="245"/>
      <c r="M16" s="545" t="s">
        <v>53</v>
      </c>
      <c r="N16" s="546"/>
      <c r="O16" s="246">
        <v>0</v>
      </c>
      <c r="P16" s="247">
        <f>F43</f>
        <v>547.32000000000005</v>
      </c>
    </row>
    <row r="17" spans="1:17" ht="15" customHeight="1" thickBot="1" x14ac:dyDescent="0.3">
      <c r="A17" s="232"/>
      <c r="B17" s="233"/>
      <c r="C17" s="239"/>
      <c r="D17" s="240"/>
      <c r="E17" s="241"/>
      <c r="F17" s="39"/>
      <c r="G17" s="237"/>
      <c r="H17" s="372"/>
      <c r="I17" s="248"/>
      <c r="J17" s="547" t="s">
        <v>54</v>
      </c>
      <c r="K17" s="548"/>
      <c r="L17" s="249"/>
      <c r="M17" s="545" t="s">
        <v>55</v>
      </c>
      <c r="N17" s="546"/>
      <c r="O17" s="246">
        <v>0</v>
      </c>
      <c r="P17" s="250">
        <v>0</v>
      </c>
    </row>
    <row r="18" spans="1:17" ht="15" customHeight="1" x14ac:dyDescent="0.25">
      <c r="A18" s="232"/>
      <c r="B18" s="233"/>
      <c r="C18" s="239"/>
      <c r="D18" s="240"/>
      <c r="E18" s="241"/>
      <c r="F18" s="39"/>
      <c r="G18" s="237"/>
      <c r="H18" s="372"/>
      <c r="I18" s="248"/>
      <c r="J18" s="251" t="s">
        <v>56</v>
      </c>
      <c r="K18" s="252"/>
      <c r="L18" s="249"/>
      <c r="M18" s="545" t="s">
        <v>57</v>
      </c>
      <c r="N18" s="546"/>
      <c r="O18" s="246">
        <v>0</v>
      </c>
      <c r="P18" s="247">
        <v>0</v>
      </c>
    </row>
    <row r="19" spans="1:17" ht="15" customHeight="1" x14ac:dyDescent="0.25">
      <c r="A19" s="232"/>
      <c r="B19" s="233"/>
      <c r="C19" s="239"/>
      <c r="D19" s="240"/>
      <c r="E19" s="241"/>
      <c r="F19" s="39"/>
      <c r="G19" s="237"/>
      <c r="H19" s="372"/>
      <c r="I19" s="248"/>
      <c r="J19" s="253" t="s">
        <v>58</v>
      </c>
      <c r="K19" s="254">
        <v>0</v>
      </c>
      <c r="L19" s="249"/>
      <c r="M19" s="549" t="s">
        <v>59</v>
      </c>
      <c r="N19" s="550"/>
      <c r="O19" s="246">
        <v>0</v>
      </c>
      <c r="P19" s="247">
        <v>0</v>
      </c>
    </row>
    <row r="20" spans="1:17" ht="15" customHeight="1" thickBot="1" x14ac:dyDescent="0.3">
      <c r="A20" s="232"/>
      <c r="B20" s="233"/>
      <c r="C20" s="239"/>
      <c r="D20" s="240"/>
      <c r="E20" s="241"/>
      <c r="F20" s="39"/>
      <c r="G20" s="237"/>
      <c r="H20" s="372"/>
      <c r="I20" s="248"/>
      <c r="J20" s="255" t="s">
        <v>60</v>
      </c>
      <c r="K20" s="256"/>
      <c r="L20" s="249"/>
      <c r="M20" s="551" t="s">
        <v>61</v>
      </c>
      <c r="N20" s="552"/>
      <c r="O20" s="257">
        <v>0</v>
      </c>
      <c r="P20" s="258">
        <v>0</v>
      </c>
    </row>
    <row r="21" spans="1:17" ht="15" customHeight="1" thickBot="1" x14ac:dyDescent="0.3">
      <c r="A21" s="232"/>
      <c r="B21" s="233"/>
      <c r="C21" s="239"/>
      <c r="D21" s="240"/>
      <c r="E21" s="241"/>
      <c r="F21" s="39"/>
      <c r="G21" s="237"/>
      <c r="H21" s="372"/>
      <c r="I21" s="248"/>
      <c r="J21" s="259" t="s">
        <v>56</v>
      </c>
      <c r="K21" s="260">
        <f>+K18+K19-K20</f>
        <v>0</v>
      </c>
      <c r="L21" s="249"/>
      <c r="M21" s="549" t="s">
        <v>62</v>
      </c>
      <c r="N21" s="553"/>
      <c r="O21" s="246">
        <v>0</v>
      </c>
      <c r="P21" s="247">
        <v>0</v>
      </c>
    </row>
    <row r="22" spans="1:17" ht="15" customHeight="1" thickBot="1" x14ac:dyDescent="0.3">
      <c r="A22" s="232"/>
      <c r="B22" s="233"/>
      <c r="C22" s="239"/>
      <c r="D22" s="240"/>
      <c r="E22" s="241"/>
      <c r="F22" s="39"/>
      <c r="G22" s="237"/>
      <c r="H22" s="372"/>
      <c r="I22" s="248"/>
      <c r="J22" s="547" t="s">
        <v>63</v>
      </c>
      <c r="K22" s="548"/>
      <c r="L22" s="261"/>
      <c r="M22" s="554" t="s">
        <v>64</v>
      </c>
      <c r="N22" s="555"/>
      <c r="O22" s="257">
        <v>0</v>
      </c>
      <c r="P22" s="258"/>
    </row>
    <row r="23" spans="1:17" ht="15" customHeight="1" thickBot="1" x14ac:dyDescent="0.3">
      <c r="A23" s="232"/>
      <c r="B23" s="233"/>
      <c r="C23" s="239"/>
      <c r="D23" s="240"/>
      <c r="E23" s="241"/>
      <c r="F23" s="39"/>
      <c r="G23" s="237"/>
      <c r="H23" s="372"/>
      <c r="I23" s="262"/>
      <c r="J23" s="251" t="s">
        <v>56</v>
      </c>
      <c r="K23" s="252">
        <v>0</v>
      </c>
      <c r="L23" s="263"/>
      <c r="M23" s="601" t="s">
        <v>65</v>
      </c>
      <c r="N23" s="602"/>
      <c r="O23" s="246">
        <v>0</v>
      </c>
      <c r="P23" s="264">
        <v>152.9</v>
      </c>
    </row>
    <row r="24" spans="1:17" ht="15" customHeight="1" thickBot="1" x14ac:dyDescent="0.3">
      <c r="A24" s="599"/>
      <c r="B24" s="600"/>
      <c r="C24" s="239"/>
      <c r="D24" s="240"/>
      <c r="E24" s="241"/>
      <c r="F24" s="39"/>
      <c r="G24" s="237"/>
      <c r="H24" s="372"/>
      <c r="I24" s="262"/>
      <c r="J24" s="253" t="s">
        <v>66</v>
      </c>
      <c r="K24" s="254">
        <v>0</v>
      </c>
      <c r="L24" s="266"/>
      <c r="M24" s="267" t="s">
        <v>67</v>
      </c>
      <c r="N24" s="117"/>
      <c r="O24" s="268">
        <v>0</v>
      </c>
      <c r="P24" s="269">
        <v>0</v>
      </c>
    </row>
    <row r="25" spans="1:17" ht="15" customHeight="1" x14ac:dyDescent="0.25">
      <c r="A25" s="38"/>
      <c r="B25" s="265"/>
      <c r="C25" s="239"/>
      <c r="D25" s="240"/>
      <c r="E25" s="241"/>
      <c r="F25" s="39"/>
      <c r="G25" s="237"/>
      <c r="H25" s="372"/>
      <c r="I25" s="262"/>
      <c r="J25" s="253" t="s">
        <v>68</v>
      </c>
      <c r="K25" s="254"/>
      <c r="L25" s="270"/>
      <c r="M25" s="267" t="s">
        <v>132</v>
      </c>
      <c r="N25" s="121"/>
      <c r="O25" s="271"/>
      <c r="P25" s="250">
        <v>0</v>
      </c>
    </row>
    <row r="26" spans="1:17" ht="15" customHeight="1" thickBot="1" x14ac:dyDescent="0.3">
      <c r="A26" s="38"/>
      <c r="B26" s="265"/>
      <c r="C26" s="239"/>
      <c r="D26" s="240"/>
      <c r="E26" s="241"/>
      <c r="F26" s="39"/>
      <c r="G26" s="237"/>
      <c r="H26" s="372"/>
      <c r="I26" s="262"/>
      <c r="J26" s="272" t="s">
        <v>70</v>
      </c>
      <c r="K26" s="273">
        <v>0</v>
      </c>
      <c r="L26" s="274"/>
      <c r="M26" s="275"/>
      <c r="N26" s="127"/>
      <c r="O26" s="276"/>
      <c r="P26" s="277"/>
    </row>
    <row r="27" spans="1:17" ht="15" customHeight="1" thickBot="1" x14ac:dyDescent="0.3">
      <c r="A27" s="599"/>
      <c r="B27" s="600"/>
      <c r="C27" s="239"/>
      <c r="D27" s="240"/>
      <c r="E27" s="241"/>
      <c r="F27" s="39"/>
      <c r="G27" s="237"/>
      <c r="H27" s="372"/>
      <c r="I27" s="262"/>
      <c r="J27" s="259" t="s">
        <v>56</v>
      </c>
      <c r="K27" s="260">
        <f>K23+K24+K25-K26</f>
        <v>0</v>
      </c>
      <c r="M27" s="560" t="s">
        <v>71</v>
      </c>
      <c r="N27" s="561"/>
      <c r="O27" s="130"/>
      <c r="P27" s="131">
        <f>P13-P14-P15-P16-P17-P18-P19-P22-P23-P24-P21-P20-P25-P26</f>
        <v>12712.484</v>
      </c>
    </row>
    <row r="28" spans="1:17" ht="15" customHeight="1" thickBot="1" x14ac:dyDescent="0.3">
      <c r="A28" s="599"/>
      <c r="B28" s="600"/>
      <c r="C28" s="239"/>
      <c r="D28" s="240"/>
      <c r="E28" s="241"/>
      <c r="F28" s="39"/>
      <c r="G28" s="237"/>
      <c r="H28" s="373"/>
      <c r="I28" s="278"/>
      <c r="J28" s="547"/>
      <c r="K28" s="547"/>
      <c r="L28" s="538" t="s">
        <v>72</v>
      </c>
      <c r="M28" s="539"/>
      <c r="N28" s="539"/>
      <c r="O28" s="539"/>
      <c r="P28" s="562"/>
    </row>
    <row r="29" spans="1:17" ht="15" customHeight="1" thickBot="1" x14ac:dyDescent="0.3">
      <c r="A29" s="605" t="s">
        <v>73</v>
      </c>
      <c r="B29" s="606"/>
      <c r="C29" s="606"/>
      <c r="D29" s="607"/>
      <c r="E29" s="279" t="e">
        <f>+#REF!</f>
        <v>#REF!</v>
      </c>
      <c r="F29" s="280"/>
      <c r="G29" s="281" t="e">
        <f>+#REF!</f>
        <v>#REF!</v>
      </c>
      <c r="H29" s="374"/>
      <c r="I29" s="262"/>
      <c r="J29" s="251" t="s">
        <v>56</v>
      </c>
      <c r="K29" s="282">
        <v>0</v>
      </c>
      <c r="L29" s="283"/>
      <c r="M29" s="138" t="s">
        <v>74</v>
      </c>
      <c r="N29" s="138" t="s">
        <v>75</v>
      </c>
      <c r="O29" s="138" t="s">
        <v>76</v>
      </c>
      <c r="P29" s="138" t="s">
        <v>77</v>
      </c>
    </row>
    <row r="30" spans="1:17" ht="15" customHeight="1" x14ac:dyDescent="0.25">
      <c r="A30" s="608"/>
      <c r="B30" s="609"/>
      <c r="C30" s="234" t="s">
        <v>78</v>
      </c>
      <c r="D30" s="235" t="s">
        <v>33</v>
      </c>
      <c r="E30" s="284">
        <f t="shared" ref="E30:E36" si="0">+G30/F30</f>
        <v>0</v>
      </c>
      <c r="F30" s="285">
        <v>9.6999999999999993</v>
      </c>
      <c r="G30" s="284">
        <v>0</v>
      </c>
      <c r="H30" s="284"/>
      <c r="I30" s="262" t="s">
        <v>48</v>
      </c>
      <c r="J30" s="253" t="s">
        <v>58</v>
      </c>
      <c r="K30" s="270">
        <v>0</v>
      </c>
      <c r="L30" s="283" t="s">
        <v>30</v>
      </c>
      <c r="M30" s="138"/>
      <c r="N30" s="141"/>
      <c r="O30" s="141"/>
      <c r="P30" s="141" t="s">
        <v>79</v>
      </c>
    </row>
    <row r="31" spans="1:17" ht="15" customHeight="1" thickBot="1" x14ac:dyDescent="0.3">
      <c r="A31" s="599"/>
      <c r="B31" s="600"/>
      <c r="C31" s="239" t="s">
        <v>78</v>
      </c>
      <c r="D31" s="240" t="s">
        <v>33</v>
      </c>
      <c r="E31" s="284">
        <f t="shared" si="0"/>
        <v>0</v>
      </c>
      <c r="F31" s="286">
        <v>10.09</v>
      </c>
      <c r="G31" s="284">
        <v>0</v>
      </c>
      <c r="H31" s="284"/>
      <c r="I31" s="262"/>
      <c r="J31" s="287" t="s">
        <v>70</v>
      </c>
      <c r="K31" s="288">
        <v>0</v>
      </c>
      <c r="L31" s="289" t="s">
        <v>31</v>
      </c>
      <c r="M31" s="138"/>
      <c r="N31" s="141"/>
      <c r="O31" s="141"/>
      <c r="P31" s="141" t="s">
        <v>79</v>
      </c>
      <c r="Q31" s="229" t="s">
        <v>48</v>
      </c>
    </row>
    <row r="32" spans="1:17" ht="15" customHeight="1" thickBot="1" x14ac:dyDescent="0.3">
      <c r="A32" s="610"/>
      <c r="B32" s="600"/>
      <c r="C32" s="239" t="s">
        <v>78</v>
      </c>
      <c r="D32" s="240" t="s">
        <v>33</v>
      </c>
      <c r="E32" s="290">
        <f t="shared" si="0"/>
        <v>0</v>
      </c>
      <c r="F32" s="286">
        <v>10.09</v>
      </c>
      <c r="G32" s="290">
        <v>0</v>
      </c>
      <c r="H32" s="290"/>
      <c r="I32" s="262"/>
      <c r="J32" s="259" t="s">
        <v>56</v>
      </c>
      <c r="K32" s="269">
        <f>+K29+K30-K31</f>
        <v>0</v>
      </c>
      <c r="L32" s="283"/>
      <c r="M32" s="138"/>
      <c r="N32" s="141"/>
      <c r="O32" s="147"/>
      <c r="P32" s="141" t="s">
        <v>83</v>
      </c>
    </row>
    <row r="33" spans="1:16" ht="15" customHeight="1" thickBot="1" x14ac:dyDescent="0.3">
      <c r="A33" s="603"/>
      <c r="B33" s="604"/>
      <c r="C33" s="239" t="s">
        <v>78</v>
      </c>
      <c r="D33" s="240" t="s">
        <v>33</v>
      </c>
      <c r="E33" s="290">
        <f t="shared" si="0"/>
        <v>0</v>
      </c>
      <c r="F33" s="286">
        <v>10.09</v>
      </c>
      <c r="G33" s="290">
        <v>0</v>
      </c>
      <c r="H33" s="290"/>
      <c r="I33" s="291"/>
      <c r="J33" s="569"/>
      <c r="K33" s="569"/>
      <c r="L33" s="283" t="s">
        <v>82</v>
      </c>
      <c r="M33" s="138"/>
      <c r="N33" s="149"/>
      <c r="O33" s="141"/>
      <c r="P33" s="141" t="s">
        <v>79</v>
      </c>
    </row>
    <row r="34" spans="1:16" ht="15" customHeight="1" x14ac:dyDescent="0.25">
      <c r="A34" s="603" t="s">
        <v>48</v>
      </c>
      <c r="B34" s="604"/>
      <c r="C34" s="239" t="s">
        <v>84</v>
      </c>
      <c r="D34" s="292" t="s">
        <v>33</v>
      </c>
      <c r="E34" s="293">
        <f t="shared" si="0"/>
        <v>0</v>
      </c>
      <c r="F34" s="286">
        <v>10.09</v>
      </c>
      <c r="G34" s="290">
        <v>0</v>
      </c>
      <c r="H34" s="290"/>
      <c r="I34" s="291"/>
      <c r="J34" s="251" t="s">
        <v>56</v>
      </c>
      <c r="K34" s="282">
        <v>0</v>
      </c>
      <c r="L34" s="283" t="s">
        <v>85</v>
      </c>
      <c r="M34" s="138"/>
      <c r="N34" s="141"/>
      <c r="O34" s="147"/>
      <c r="P34" s="152" t="s">
        <v>120</v>
      </c>
    </row>
    <row r="35" spans="1:16" ht="15" customHeight="1" x14ac:dyDescent="0.25">
      <c r="A35" s="603"/>
      <c r="B35" s="604"/>
      <c r="C35" s="239" t="s">
        <v>78</v>
      </c>
      <c r="D35" s="240" t="s">
        <v>33</v>
      </c>
      <c r="E35" s="290">
        <f t="shared" si="0"/>
        <v>0</v>
      </c>
      <c r="F35" s="286">
        <v>10</v>
      </c>
      <c r="G35" s="290">
        <v>0</v>
      </c>
      <c r="H35" s="290"/>
      <c r="I35" s="262"/>
      <c r="J35" s="253" t="s">
        <v>58</v>
      </c>
      <c r="K35" s="270">
        <v>0</v>
      </c>
      <c r="L35" s="283" t="s">
        <v>87</v>
      </c>
      <c r="M35" s="138"/>
      <c r="N35" s="149"/>
      <c r="O35" s="294"/>
      <c r="P35" s="154" t="s">
        <v>88</v>
      </c>
    </row>
    <row r="36" spans="1:16" ht="15" customHeight="1" thickBot="1" x14ac:dyDescent="0.3">
      <c r="A36" s="611" t="s">
        <v>89</v>
      </c>
      <c r="B36" s="612"/>
      <c r="C36" s="295" t="s">
        <v>78</v>
      </c>
      <c r="D36" s="296" t="s">
        <v>33</v>
      </c>
      <c r="E36" s="297">
        <f t="shared" si="0"/>
        <v>0</v>
      </c>
      <c r="F36" s="298">
        <v>10.09</v>
      </c>
      <c r="G36" s="284">
        <v>0</v>
      </c>
      <c r="H36" s="284"/>
      <c r="I36" s="262"/>
      <c r="J36" s="299" t="s">
        <v>90</v>
      </c>
      <c r="K36" s="288">
        <v>0</v>
      </c>
      <c r="L36" s="300"/>
      <c r="M36" s="141"/>
      <c r="N36" s="141"/>
      <c r="O36" s="141"/>
      <c r="P36" s="141" t="s">
        <v>91</v>
      </c>
    </row>
    <row r="37" spans="1:16" ht="15" customHeight="1" thickBot="1" x14ac:dyDescent="0.3">
      <c r="A37" s="605" t="s">
        <v>92</v>
      </c>
      <c r="B37" s="606"/>
      <c r="C37" s="606"/>
      <c r="D37" s="607"/>
      <c r="E37" s="279">
        <f>SUM(E30:E36)</f>
        <v>0</v>
      </c>
      <c r="F37" s="301"/>
      <c r="G37" s="302">
        <f>+G30+G31+G32+G33+G34+G35+G36</f>
        <v>0</v>
      </c>
      <c r="H37" s="374"/>
      <c r="I37" s="262"/>
      <c r="J37" s="303" t="s">
        <v>56</v>
      </c>
      <c r="K37" s="304">
        <f>+K34+K35-K36</f>
        <v>0</v>
      </c>
      <c r="L37" s="305" t="s">
        <v>48</v>
      </c>
      <c r="M37" s="141"/>
      <c r="N37" s="141"/>
      <c r="O37" s="141"/>
      <c r="P37" s="141" t="s">
        <v>93</v>
      </c>
    </row>
    <row r="38" spans="1:16" ht="15" customHeight="1" thickBot="1" x14ac:dyDescent="0.3">
      <c r="A38" s="613"/>
      <c r="B38" s="614"/>
      <c r="C38" s="614"/>
      <c r="D38" s="615"/>
      <c r="E38" s="306"/>
      <c r="F38" s="307"/>
      <c r="G38" s="308"/>
      <c r="H38" s="375"/>
      <c r="I38" s="240"/>
      <c r="J38" s="575" t="s">
        <v>94</v>
      </c>
      <c r="K38" s="569"/>
      <c r="L38" s="576"/>
      <c r="M38" s="169"/>
      <c r="N38" s="170"/>
      <c r="O38" s="141"/>
      <c r="P38" s="141" t="s">
        <v>95</v>
      </c>
    </row>
    <row r="39" spans="1:16" ht="15" customHeight="1" thickBot="1" x14ac:dyDescent="0.3">
      <c r="A39" s="619"/>
      <c r="B39" s="620"/>
      <c r="C39" s="620"/>
      <c r="D39" s="621"/>
      <c r="E39" s="309"/>
      <c r="F39" s="310"/>
      <c r="G39" s="309"/>
      <c r="H39" s="375"/>
      <c r="I39" s="311"/>
      <c r="J39" s="312" t="s">
        <v>28</v>
      </c>
      <c r="K39" s="263">
        <v>2313.5</v>
      </c>
      <c r="L39" s="175" t="s">
        <v>96</v>
      </c>
      <c r="M39" s="579"/>
      <c r="N39" s="580"/>
      <c r="O39" s="581"/>
      <c r="P39" s="582"/>
    </row>
    <row r="40" spans="1:16" ht="15" customHeight="1" thickBot="1" x14ac:dyDescent="0.3">
      <c r="A40" s="560" t="s">
        <v>97</v>
      </c>
      <c r="B40" s="561"/>
      <c r="C40" s="561"/>
      <c r="D40" s="583"/>
      <c r="E40" s="313" t="s">
        <v>98</v>
      </c>
      <c r="F40" s="177" t="s">
        <v>28</v>
      </c>
      <c r="G40" s="314"/>
      <c r="H40" s="376"/>
      <c r="I40" s="311"/>
      <c r="J40" s="315" t="s">
        <v>98</v>
      </c>
      <c r="K40" s="270">
        <v>10398.9</v>
      </c>
      <c r="L40" s="180" t="s">
        <v>99</v>
      </c>
      <c r="M40" s="316" t="s">
        <v>56</v>
      </c>
      <c r="N40" s="317">
        <v>0</v>
      </c>
      <c r="O40" s="318" t="s">
        <v>56</v>
      </c>
      <c r="P40" s="319">
        <v>0</v>
      </c>
    </row>
    <row r="41" spans="1:16" ht="15" customHeight="1" thickBot="1" x14ac:dyDescent="0.3">
      <c r="A41" s="584" t="s">
        <v>100</v>
      </c>
      <c r="B41" s="585"/>
      <c r="C41" s="585"/>
      <c r="D41" s="585"/>
      <c r="E41" s="320">
        <v>1901.15</v>
      </c>
      <c r="F41" s="321"/>
      <c r="G41" s="322"/>
      <c r="H41" s="290"/>
      <c r="I41" s="240"/>
      <c r="J41" s="299" t="s">
        <v>101</v>
      </c>
      <c r="K41" s="323"/>
      <c r="L41" s="283"/>
      <c r="M41" s="253" t="s">
        <v>58</v>
      </c>
      <c r="N41" s="324">
        <v>0</v>
      </c>
      <c r="O41" s="232" t="s">
        <v>102</v>
      </c>
      <c r="P41" s="325">
        <f>G32</f>
        <v>0</v>
      </c>
    </row>
    <row r="42" spans="1:16" ht="15" customHeight="1" thickBot="1" x14ac:dyDescent="0.3">
      <c r="A42" s="586" t="s">
        <v>103</v>
      </c>
      <c r="B42" s="587"/>
      <c r="C42" s="587"/>
      <c r="D42" s="587"/>
      <c r="E42" s="326">
        <v>530.02</v>
      </c>
      <c r="F42" s="327">
        <v>547.32000000000005</v>
      </c>
      <c r="G42" s="322"/>
      <c r="H42" s="290"/>
      <c r="I42" s="240"/>
      <c r="J42" s="259" t="s">
        <v>34</v>
      </c>
      <c r="K42" s="328">
        <f>SUM(K39:K41)-K41</f>
        <v>12712.4</v>
      </c>
      <c r="L42" s="329"/>
      <c r="M42" s="287" t="s">
        <v>104</v>
      </c>
      <c r="N42" s="324">
        <v>0</v>
      </c>
      <c r="O42" s="330" t="s">
        <v>105</v>
      </c>
      <c r="P42" s="331">
        <v>0</v>
      </c>
    </row>
    <row r="43" spans="1:16" ht="15" customHeight="1" thickBot="1" x14ac:dyDescent="0.3">
      <c r="A43" s="616"/>
      <c r="B43" s="617"/>
      <c r="C43" s="617"/>
      <c r="D43" s="618"/>
      <c r="E43" s="332">
        <f>SUM(E41:E42)</f>
        <v>2431.17</v>
      </c>
      <c r="F43" s="327">
        <f>SUM(F41:F42)</f>
        <v>547.32000000000005</v>
      </c>
      <c r="G43" s="322">
        <f>SUM(E43:F43)</f>
        <v>2978.4900000000002</v>
      </c>
      <c r="H43" s="290"/>
      <c r="I43" s="240"/>
      <c r="J43" s="229" t="s">
        <v>106</v>
      </c>
      <c r="K43" s="294">
        <f>P27-K42</f>
        <v>8.4000000000742148E-2</v>
      </c>
      <c r="L43" s="329"/>
      <c r="M43" s="303" t="s">
        <v>56</v>
      </c>
      <c r="N43" s="333">
        <f>+N40-N41+N42</f>
        <v>0</v>
      </c>
      <c r="O43" s="334" t="s">
        <v>56</v>
      </c>
      <c r="P43" s="335">
        <f>+P40+P41-P42</f>
        <v>0</v>
      </c>
    </row>
    <row r="44" spans="1:16" ht="15" customHeight="1" thickBot="1" x14ac:dyDescent="0.3">
      <c r="A44" s="577"/>
      <c r="B44" s="578"/>
      <c r="C44" s="578"/>
      <c r="D44" s="336"/>
      <c r="E44" s="337"/>
      <c r="F44" s="338"/>
      <c r="G44" s="339"/>
      <c r="H44" s="377"/>
      <c r="I44" s="340"/>
      <c r="J44" s="253"/>
      <c r="K44" s="269"/>
      <c r="L44" s="341" t="s">
        <v>48</v>
      </c>
      <c r="M44" s="342" t="s">
        <v>107</v>
      </c>
      <c r="N44" s="343"/>
      <c r="O44" s="344"/>
      <c r="P44" s="345"/>
    </row>
    <row r="45" spans="1:16" x14ac:dyDescent="0.25">
      <c r="E45" s="346"/>
      <c r="G45" s="346"/>
      <c r="H45" s="346"/>
    </row>
    <row r="46" spans="1:16" ht="15.75" thickBot="1" x14ac:dyDescent="0.3">
      <c r="D46" s="37" t="s">
        <v>108</v>
      </c>
      <c r="E46" s="37" t="s">
        <v>109</v>
      </c>
      <c r="F46" s="37" t="s">
        <v>39</v>
      </c>
      <c r="G46" s="37"/>
      <c r="H46" s="37"/>
    </row>
    <row r="47" spans="1:16" ht="15.75" x14ac:dyDescent="0.25">
      <c r="D47" s="347" t="s">
        <v>28</v>
      </c>
      <c r="E47" s="348">
        <f>+G47/F47</f>
        <v>381.95193591455273</v>
      </c>
      <c r="F47" s="231">
        <v>7.49</v>
      </c>
      <c r="G47" s="349">
        <v>2860.82</v>
      </c>
      <c r="H47" s="378"/>
      <c r="M47" s="37"/>
    </row>
    <row r="48" spans="1:16" x14ac:dyDescent="0.25">
      <c r="D48" s="350" t="s">
        <v>110</v>
      </c>
      <c r="E48" s="351">
        <f>+G48/F48</f>
        <v>197.97362637362639</v>
      </c>
      <c r="F48" s="218">
        <v>17.29</v>
      </c>
      <c r="G48" s="352">
        <v>3422.9639999999999</v>
      </c>
      <c r="H48" s="379"/>
      <c r="M48" s="37"/>
    </row>
    <row r="49" spans="4:14" x14ac:dyDescent="0.25">
      <c r="D49" s="350" t="s">
        <v>111</v>
      </c>
      <c r="E49" s="351">
        <f>+G49/F49</f>
        <v>504.89025177533892</v>
      </c>
      <c r="F49" s="218">
        <v>15.49</v>
      </c>
      <c r="G49" s="352">
        <v>7820.75</v>
      </c>
      <c r="H49" s="379"/>
      <c r="M49" s="37"/>
      <c r="N49" s="37"/>
    </row>
    <row r="50" spans="4:14" x14ac:dyDescent="0.25">
      <c r="D50" s="350" t="s">
        <v>32</v>
      </c>
      <c r="E50" s="351">
        <f>+G50/F50</f>
        <v>0</v>
      </c>
      <c r="F50" s="218">
        <v>1</v>
      </c>
      <c r="G50" s="352"/>
      <c r="H50" s="379"/>
      <c r="M50" s="37"/>
      <c r="N50" s="37"/>
    </row>
    <row r="51" spans="4:14" ht="15.75" thickBot="1" x14ac:dyDescent="0.3">
      <c r="D51" s="353" t="s">
        <v>33</v>
      </c>
      <c r="E51" s="354">
        <f>+G51/F51</f>
        <v>113.75670372792675</v>
      </c>
      <c r="F51" s="222">
        <v>15.29</v>
      </c>
      <c r="G51" s="355">
        <v>1739.34</v>
      </c>
      <c r="H51" s="379"/>
      <c r="M51" s="37"/>
      <c r="N51" s="37"/>
    </row>
    <row r="52" spans="4:14" ht="15.75" thickBot="1" x14ac:dyDescent="0.3">
      <c r="D52" s="356"/>
      <c r="E52" s="357">
        <f>SUM(E47:E51)</f>
        <v>1198.5725177914449</v>
      </c>
      <c r="F52" s="358"/>
      <c r="G52" s="359">
        <f>G47+G48+G49+G51</f>
        <v>15843.874</v>
      </c>
      <c r="H52" s="380"/>
      <c r="K52" s="360">
        <f>G52-E43-F43-K42</f>
        <v>152.98400000000038</v>
      </c>
      <c r="M52" s="37"/>
    </row>
  </sheetData>
  <mergeCells count="53">
    <mergeCell ref="M15:N15"/>
    <mergeCell ref="A1:I3"/>
    <mergeCell ref="K1:M1"/>
    <mergeCell ref="K2:L2"/>
    <mergeCell ref="K3:M3"/>
    <mergeCell ref="A5:A6"/>
    <mergeCell ref="B5:B6"/>
    <mergeCell ref="C5:F5"/>
    <mergeCell ref="G5:J5"/>
    <mergeCell ref="K5:K6"/>
    <mergeCell ref="L5:M5"/>
    <mergeCell ref="N5:P5"/>
    <mergeCell ref="A12:B12"/>
    <mergeCell ref="M12:N12"/>
    <mergeCell ref="M13:N13"/>
    <mergeCell ref="M14:N14"/>
    <mergeCell ref="A24:B24"/>
    <mergeCell ref="J16:K16"/>
    <mergeCell ref="M16:N16"/>
    <mergeCell ref="J17:K17"/>
    <mergeCell ref="M17:N17"/>
    <mergeCell ref="M18:N18"/>
    <mergeCell ref="M19:N19"/>
    <mergeCell ref="M20:N20"/>
    <mergeCell ref="M21:N21"/>
    <mergeCell ref="J22:K22"/>
    <mergeCell ref="M22:N22"/>
    <mergeCell ref="M23:N23"/>
    <mergeCell ref="A34:B34"/>
    <mergeCell ref="A27:B27"/>
    <mergeCell ref="M27:N27"/>
    <mergeCell ref="A28:B28"/>
    <mergeCell ref="J28:K28"/>
    <mergeCell ref="L28:P28"/>
    <mergeCell ref="A29:D29"/>
    <mergeCell ref="A30:B30"/>
    <mergeCell ref="A31:B31"/>
    <mergeCell ref="A32:B32"/>
    <mergeCell ref="A33:B33"/>
    <mergeCell ref="J33:K33"/>
    <mergeCell ref="A35:B35"/>
    <mergeCell ref="A36:B36"/>
    <mergeCell ref="A37:D37"/>
    <mergeCell ref="A38:D38"/>
    <mergeCell ref="J38:L38"/>
    <mergeCell ref="A44:C44"/>
    <mergeCell ref="M39:N39"/>
    <mergeCell ref="O39:P39"/>
    <mergeCell ref="A40:D40"/>
    <mergeCell ref="A41:D41"/>
    <mergeCell ref="A42:D42"/>
    <mergeCell ref="A43:D43"/>
    <mergeCell ref="A39:D39"/>
  </mergeCells>
  <conditionalFormatting sqref="Q7:Q11">
    <cfRule type="cellIs" dxfId="1" priority="2" operator="equal">
      <formula>"-"</formula>
    </cfRule>
  </conditionalFormatting>
  <pageMargins left="0.25" right="0.25" top="0.75" bottom="0.75" header="0.3" footer="0.3"/>
  <pageSetup scale="56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6BEA54C-2168-4743-9D31-3BC8C517792E}">
            <xm:f>NOT(ISERROR(SEARCH("-",Q7)))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Q7:Q11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01-03-2025</vt:lpstr>
      <vt:lpstr>02-03-2025</vt:lpstr>
      <vt:lpstr>03-03-2025</vt:lpstr>
      <vt:lpstr>04-03-2025</vt:lpstr>
      <vt:lpstr>05-03-2025</vt:lpstr>
      <vt:lpstr>06-03-2025</vt:lpstr>
      <vt:lpstr>07-03-2025</vt:lpstr>
      <vt:lpstr>08-03-2025</vt:lpstr>
      <vt:lpstr>09-03-2025</vt:lpstr>
      <vt:lpstr>10-03-2025</vt:lpstr>
      <vt:lpstr>11-03-2025</vt:lpstr>
      <vt:lpstr>12-03-2025</vt:lpstr>
      <vt:lpstr>13-03-2025</vt:lpstr>
      <vt:lpstr>14-03-2025</vt:lpstr>
      <vt:lpstr>15-03-2025</vt:lpstr>
      <vt:lpstr>16-03-2025</vt:lpstr>
      <vt:lpstr>17-03-2025</vt:lpstr>
      <vt:lpstr>18-03-2025</vt:lpstr>
      <vt:lpstr>19-03-2025</vt:lpstr>
      <vt:lpstr>20-03-2025</vt:lpstr>
      <vt:lpstr>21-03-2025</vt:lpstr>
      <vt:lpstr>22-03-2025</vt:lpstr>
      <vt:lpstr>23-03-2025</vt:lpstr>
      <vt:lpstr>24-03-2025</vt:lpstr>
      <vt:lpstr>25-03-2025</vt:lpstr>
      <vt:lpstr>26-03-2025</vt:lpstr>
      <vt:lpstr>27-03-2025</vt:lpstr>
      <vt:lpstr>28-03-2025</vt:lpstr>
      <vt:lpstr>29-03-2025</vt:lpstr>
      <vt:lpstr>30-03-2025</vt:lpstr>
      <vt:lpstr>31-03-2025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ADM-PORVENIR</dc:creator>
  <cp:lastModifiedBy>fedy</cp:lastModifiedBy>
  <cp:lastPrinted>2025-03-31T15:39:07Z</cp:lastPrinted>
  <dcterms:created xsi:type="dcterms:W3CDTF">2025-03-03T17:21:23Z</dcterms:created>
  <dcterms:modified xsi:type="dcterms:W3CDTF">2025-06-23T22:54:51Z</dcterms:modified>
</cp:coreProperties>
</file>